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opbox\IPTV_OPENWRT\"/>
    </mc:Choice>
  </mc:AlternateContent>
  <xr:revisionPtr revIDLastSave="0" documentId="13_ncr:1_{D2989D1A-2FEA-4494-94EF-47BBE86654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9" i="1" l="1"/>
  <c r="I189" i="1"/>
  <c r="K189" i="1" s="1"/>
  <c r="H189" i="1"/>
  <c r="J188" i="1"/>
  <c r="I188" i="1"/>
  <c r="K188" i="1" s="1"/>
  <c r="H188" i="1"/>
  <c r="J187" i="1"/>
  <c r="I187" i="1"/>
  <c r="K187" i="1" s="1"/>
  <c r="H187" i="1"/>
  <c r="J186" i="1"/>
  <c r="I186" i="1"/>
  <c r="K186" i="1" s="1"/>
  <c r="H186" i="1"/>
  <c r="J185" i="1"/>
  <c r="I185" i="1"/>
  <c r="K185" i="1" s="1"/>
  <c r="H185" i="1"/>
  <c r="J184" i="1"/>
  <c r="I184" i="1"/>
  <c r="K184" i="1" s="1"/>
  <c r="H184" i="1"/>
  <c r="J183" i="1"/>
  <c r="I183" i="1"/>
  <c r="K183" i="1" s="1"/>
  <c r="H183" i="1"/>
  <c r="J182" i="1"/>
  <c r="I182" i="1"/>
  <c r="K182" i="1" s="1"/>
  <c r="H182" i="1"/>
  <c r="J181" i="1"/>
  <c r="I181" i="1"/>
  <c r="K181" i="1" s="1"/>
  <c r="H181" i="1"/>
  <c r="J180" i="1"/>
  <c r="I180" i="1"/>
  <c r="K180" i="1" s="1"/>
  <c r="H180" i="1"/>
  <c r="J179" i="1"/>
  <c r="I179" i="1"/>
  <c r="K179" i="1" s="1"/>
  <c r="H179" i="1"/>
  <c r="J178" i="1"/>
  <c r="I178" i="1"/>
  <c r="K178" i="1" s="1"/>
  <c r="H178" i="1"/>
  <c r="J177" i="1"/>
  <c r="I177" i="1"/>
  <c r="K177" i="1" s="1"/>
  <c r="H177" i="1"/>
  <c r="J176" i="1"/>
  <c r="I176" i="1"/>
  <c r="K176" i="1" s="1"/>
  <c r="H176" i="1"/>
  <c r="J175" i="1"/>
  <c r="I175" i="1"/>
  <c r="K175" i="1" s="1"/>
  <c r="H175" i="1"/>
  <c r="J174" i="1"/>
  <c r="I174" i="1"/>
  <c r="K174" i="1" s="1"/>
  <c r="H174" i="1"/>
  <c r="J173" i="1"/>
  <c r="I173" i="1"/>
  <c r="K173" i="1" s="1"/>
  <c r="H173" i="1"/>
  <c r="J172" i="1"/>
  <c r="I172" i="1"/>
  <c r="K172" i="1" s="1"/>
  <c r="H172" i="1"/>
  <c r="J171" i="1"/>
  <c r="I171" i="1"/>
  <c r="K171" i="1" s="1"/>
  <c r="H171" i="1"/>
  <c r="J170" i="1"/>
  <c r="I170" i="1"/>
  <c r="K170" i="1" s="1"/>
  <c r="H170" i="1"/>
  <c r="J169" i="1"/>
  <c r="I169" i="1"/>
  <c r="K169" i="1" s="1"/>
  <c r="H169" i="1"/>
  <c r="J168" i="1"/>
  <c r="I168" i="1"/>
  <c r="K168" i="1" s="1"/>
  <c r="H168" i="1"/>
  <c r="J167" i="1"/>
  <c r="I167" i="1"/>
  <c r="K167" i="1" s="1"/>
  <c r="H167" i="1"/>
  <c r="J166" i="1"/>
  <c r="I166" i="1"/>
  <c r="K166" i="1" s="1"/>
  <c r="H166" i="1"/>
  <c r="J165" i="1"/>
  <c r="I165" i="1"/>
  <c r="K165" i="1" s="1"/>
  <c r="H165" i="1"/>
  <c r="J164" i="1"/>
  <c r="I164" i="1"/>
  <c r="K164" i="1" s="1"/>
  <c r="H164" i="1"/>
  <c r="J163" i="1"/>
  <c r="I163" i="1"/>
  <c r="K163" i="1" s="1"/>
  <c r="H163" i="1"/>
  <c r="J162" i="1"/>
  <c r="I162" i="1"/>
  <c r="K162" i="1" s="1"/>
  <c r="H162" i="1"/>
  <c r="J161" i="1"/>
  <c r="I161" i="1"/>
  <c r="K161" i="1" s="1"/>
  <c r="H161" i="1"/>
  <c r="J160" i="1"/>
  <c r="I160" i="1"/>
  <c r="K160" i="1" s="1"/>
  <c r="H160" i="1"/>
  <c r="J159" i="1"/>
  <c r="I159" i="1"/>
  <c r="K159" i="1" s="1"/>
  <c r="H159" i="1"/>
  <c r="J158" i="1"/>
  <c r="I158" i="1"/>
  <c r="K158" i="1" s="1"/>
  <c r="H158" i="1"/>
  <c r="J157" i="1"/>
  <c r="I157" i="1"/>
  <c r="K157" i="1" s="1"/>
  <c r="H157" i="1"/>
  <c r="J156" i="1"/>
  <c r="I156" i="1"/>
  <c r="K156" i="1" s="1"/>
  <c r="H156" i="1"/>
  <c r="J155" i="1"/>
  <c r="I155" i="1"/>
  <c r="K155" i="1" s="1"/>
  <c r="H155" i="1"/>
  <c r="J154" i="1"/>
  <c r="I154" i="1"/>
  <c r="K154" i="1" s="1"/>
  <c r="H154" i="1"/>
  <c r="J153" i="1"/>
  <c r="I153" i="1"/>
  <c r="K153" i="1" s="1"/>
  <c r="H153" i="1"/>
  <c r="J152" i="1"/>
  <c r="I152" i="1"/>
  <c r="K152" i="1" s="1"/>
  <c r="H152" i="1"/>
  <c r="J151" i="1"/>
  <c r="I151" i="1"/>
  <c r="K151" i="1" s="1"/>
  <c r="H151" i="1"/>
  <c r="J150" i="1"/>
  <c r="I150" i="1"/>
  <c r="K150" i="1" s="1"/>
  <c r="H150" i="1"/>
  <c r="J149" i="1"/>
  <c r="I149" i="1"/>
  <c r="K149" i="1" s="1"/>
  <c r="H149" i="1"/>
  <c r="J148" i="1"/>
  <c r="I148" i="1"/>
  <c r="K148" i="1" s="1"/>
  <c r="H148" i="1"/>
  <c r="J147" i="1"/>
  <c r="I147" i="1"/>
  <c r="K147" i="1" s="1"/>
  <c r="H147" i="1"/>
  <c r="J146" i="1"/>
  <c r="I146" i="1"/>
  <c r="K146" i="1" s="1"/>
  <c r="H146" i="1"/>
  <c r="J145" i="1"/>
  <c r="I145" i="1"/>
  <c r="K145" i="1" s="1"/>
  <c r="H145" i="1"/>
  <c r="J144" i="1"/>
  <c r="I144" i="1"/>
  <c r="K144" i="1" s="1"/>
  <c r="H144" i="1"/>
  <c r="J143" i="1"/>
  <c r="I143" i="1"/>
  <c r="K143" i="1" s="1"/>
  <c r="H143" i="1"/>
  <c r="J142" i="1"/>
  <c r="I142" i="1"/>
  <c r="K142" i="1" s="1"/>
  <c r="H142" i="1"/>
  <c r="J141" i="1"/>
  <c r="I141" i="1"/>
  <c r="K141" i="1" s="1"/>
  <c r="H141" i="1"/>
  <c r="J140" i="1"/>
  <c r="I140" i="1"/>
  <c r="K140" i="1" s="1"/>
  <c r="H140" i="1"/>
  <c r="J139" i="1"/>
  <c r="I139" i="1"/>
  <c r="K139" i="1" s="1"/>
  <c r="H139" i="1"/>
  <c r="J138" i="1"/>
  <c r="I138" i="1"/>
  <c r="K138" i="1" s="1"/>
  <c r="H138" i="1"/>
  <c r="J137" i="1"/>
  <c r="I137" i="1"/>
  <c r="K137" i="1" s="1"/>
  <c r="H137" i="1"/>
  <c r="J136" i="1"/>
  <c r="I136" i="1"/>
  <c r="K136" i="1" s="1"/>
  <c r="H136" i="1"/>
  <c r="J135" i="1"/>
  <c r="I135" i="1"/>
  <c r="K135" i="1" s="1"/>
  <c r="H135" i="1"/>
  <c r="J134" i="1"/>
  <c r="I134" i="1"/>
  <c r="K134" i="1" s="1"/>
  <c r="H134" i="1"/>
  <c r="J133" i="1"/>
  <c r="I133" i="1"/>
  <c r="K133" i="1" s="1"/>
  <c r="H133" i="1"/>
  <c r="J132" i="1"/>
  <c r="I132" i="1"/>
  <c r="K132" i="1" s="1"/>
  <c r="H132" i="1"/>
  <c r="J131" i="1"/>
  <c r="I131" i="1"/>
  <c r="K131" i="1" s="1"/>
  <c r="H131" i="1"/>
  <c r="J130" i="1"/>
  <c r="I130" i="1"/>
  <c r="K130" i="1" s="1"/>
  <c r="H130" i="1"/>
  <c r="J129" i="1"/>
  <c r="I129" i="1"/>
  <c r="K129" i="1" s="1"/>
  <c r="H129" i="1"/>
  <c r="J128" i="1"/>
  <c r="I128" i="1"/>
  <c r="K128" i="1" s="1"/>
  <c r="H128" i="1"/>
  <c r="J127" i="1"/>
  <c r="I127" i="1"/>
  <c r="K127" i="1" s="1"/>
  <c r="H127" i="1"/>
  <c r="J126" i="1"/>
  <c r="I126" i="1"/>
  <c r="K126" i="1" s="1"/>
  <c r="H126" i="1"/>
  <c r="J125" i="1"/>
  <c r="I125" i="1"/>
  <c r="K125" i="1" s="1"/>
  <c r="H125" i="1"/>
  <c r="J124" i="1"/>
  <c r="I124" i="1"/>
  <c r="K124" i="1" s="1"/>
  <c r="H124" i="1"/>
  <c r="J123" i="1"/>
  <c r="I123" i="1"/>
  <c r="K123" i="1" s="1"/>
  <c r="H123" i="1"/>
  <c r="J122" i="1"/>
  <c r="I122" i="1"/>
  <c r="K122" i="1" s="1"/>
  <c r="H122" i="1"/>
  <c r="J121" i="1"/>
  <c r="I121" i="1"/>
  <c r="K121" i="1" s="1"/>
  <c r="H121" i="1"/>
  <c r="J120" i="1"/>
  <c r="I120" i="1"/>
  <c r="K120" i="1" s="1"/>
  <c r="H120" i="1"/>
  <c r="J119" i="1"/>
  <c r="I119" i="1"/>
  <c r="K119" i="1" s="1"/>
  <c r="H119" i="1"/>
  <c r="J118" i="1"/>
  <c r="I118" i="1"/>
  <c r="K118" i="1" s="1"/>
  <c r="H118" i="1"/>
  <c r="J117" i="1"/>
  <c r="I117" i="1"/>
  <c r="K117" i="1" s="1"/>
  <c r="H117" i="1"/>
  <c r="J116" i="1"/>
  <c r="I116" i="1"/>
  <c r="K116" i="1" s="1"/>
  <c r="H116" i="1"/>
  <c r="J115" i="1"/>
  <c r="I115" i="1"/>
  <c r="K115" i="1" s="1"/>
  <c r="H115" i="1"/>
  <c r="J114" i="1"/>
  <c r="I114" i="1"/>
  <c r="K114" i="1" s="1"/>
  <c r="H114" i="1"/>
  <c r="J113" i="1"/>
  <c r="I113" i="1"/>
  <c r="K113" i="1" s="1"/>
  <c r="H113" i="1"/>
  <c r="J112" i="1"/>
  <c r="I112" i="1"/>
  <c r="K112" i="1" s="1"/>
  <c r="H112" i="1"/>
  <c r="J111" i="1"/>
  <c r="I111" i="1"/>
  <c r="K111" i="1" s="1"/>
  <c r="H111" i="1"/>
  <c r="J110" i="1"/>
  <c r="I110" i="1"/>
  <c r="K110" i="1" s="1"/>
  <c r="H110" i="1"/>
  <c r="J109" i="1"/>
  <c r="I109" i="1"/>
  <c r="K109" i="1" s="1"/>
  <c r="H109" i="1"/>
  <c r="J108" i="1"/>
  <c r="I108" i="1"/>
  <c r="K108" i="1" s="1"/>
  <c r="H108" i="1"/>
  <c r="J107" i="1"/>
  <c r="I107" i="1"/>
  <c r="K107" i="1" s="1"/>
  <c r="H107" i="1"/>
  <c r="J106" i="1"/>
  <c r="I106" i="1"/>
  <c r="K106" i="1" s="1"/>
  <c r="H106" i="1"/>
  <c r="J105" i="1"/>
  <c r="I105" i="1"/>
  <c r="K105" i="1" s="1"/>
  <c r="H105" i="1"/>
  <c r="J104" i="1"/>
  <c r="I104" i="1"/>
  <c r="K104" i="1" s="1"/>
  <c r="H104" i="1"/>
  <c r="J103" i="1"/>
  <c r="I103" i="1"/>
  <c r="K103" i="1" s="1"/>
  <c r="H103" i="1"/>
  <c r="J102" i="1"/>
  <c r="I102" i="1"/>
  <c r="K102" i="1" s="1"/>
  <c r="H102" i="1"/>
  <c r="J101" i="1"/>
  <c r="I101" i="1"/>
  <c r="K101" i="1" s="1"/>
  <c r="H101" i="1"/>
  <c r="J100" i="1"/>
  <c r="I100" i="1"/>
  <c r="K100" i="1" s="1"/>
  <c r="H100" i="1"/>
  <c r="J99" i="1"/>
  <c r="I99" i="1"/>
  <c r="K99" i="1" s="1"/>
  <c r="H99" i="1"/>
  <c r="J98" i="1"/>
  <c r="I98" i="1"/>
  <c r="K98" i="1" s="1"/>
  <c r="H98" i="1"/>
  <c r="J97" i="1"/>
  <c r="I97" i="1"/>
  <c r="K97" i="1" s="1"/>
  <c r="H97" i="1"/>
  <c r="J96" i="1"/>
  <c r="I96" i="1"/>
  <c r="K96" i="1" s="1"/>
  <c r="H96" i="1"/>
  <c r="J95" i="1"/>
  <c r="I95" i="1"/>
  <c r="K95" i="1" s="1"/>
  <c r="H95" i="1"/>
  <c r="J94" i="1"/>
  <c r="I94" i="1"/>
  <c r="K94" i="1" s="1"/>
  <c r="H94" i="1"/>
  <c r="J93" i="1"/>
  <c r="I93" i="1"/>
  <c r="K93" i="1" s="1"/>
  <c r="H93" i="1"/>
  <c r="J92" i="1"/>
  <c r="I92" i="1"/>
  <c r="K92" i="1" s="1"/>
  <c r="H92" i="1"/>
  <c r="J91" i="1"/>
  <c r="I91" i="1"/>
  <c r="K91" i="1" s="1"/>
  <c r="H91" i="1"/>
  <c r="J90" i="1"/>
  <c r="I90" i="1"/>
  <c r="K90" i="1" s="1"/>
  <c r="H90" i="1"/>
  <c r="J89" i="1"/>
  <c r="I89" i="1"/>
  <c r="K89" i="1" s="1"/>
  <c r="H89" i="1"/>
  <c r="J88" i="1"/>
  <c r="I88" i="1"/>
  <c r="K88" i="1" s="1"/>
  <c r="H88" i="1"/>
  <c r="J87" i="1"/>
  <c r="I87" i="1"/>
  <c r="K87" i="1" s="1"/>
  <c r="H87" i="1"/>
  <c r="J86" i="1"/>
  <c r="I86" i="1"/>
  <c r="K86" i="1" s="1"/>
  <c r="H86" i="1"/>
  <c r="J85" i="1"/>
  <c r="I85" i="1"/>
  <c r="K85" i="1" s="1"/>
  <c r="H85" i="1"/>
  <c r="J84" i="1"/>
  <c r="I84" i="1"/>
  <c r="K84" i="1" s="1"/>
  <c r="H84" i="1"/>
  <c r="J83" i="1"/>
  <c r="I83" i="1"/>
  <c r="K83" i="1" s="1"/>
  <c r="H83" i="1"/>
  <c r="J82" i="1"/>
  <c r="I82" i="1"/>
  <c r="K82" i="1" s="1"/>
  <c r="H82" i="1"/>
  <c r="J81" i="1"/>
  <c r="I81" i="1"/>
  <c r="K81" i="1" s="1"/>
  <c r="H81" i="1"/>
  <c r="J80" i="1"/>
  <c r="I80" i="1"/>
  <c r="K80" i="1" s="1"/>
  <c r="H80" i="1"/>
  <c r="J79" i="1"/>
  <c r="I79" i="1"/>
  <c r="K79" i="1" s="1"/>
  <c r="H79" i="1"/>
  <c r="J78" i="1"/>
  <c r="I78" i="1"/>
  <c r="K78" i="1" s="1"/>
  <c r="H78" i="1"/>
  <c r="J77" i="1"/>
  <c r="I77" i="1"/>
  <c r="K77" i="1" s="1"/>
  <c r="H77" i="1"/>
  <c r="J76" i="1"/>
  <c r="I76" i="1"/>
  <c r="K76" i="1" s="1"/>
  <c r="H76" i="1"/>
  <c r="J75" i="1"/>
  <c r="I75" i="1"/>
  <c r="K75" i="1" s="1"/>
  <c r="H75" i="1"/>
  <c r="J74" i="1"/>
  <c r="I74" i="1"/>
  <c r="K74" i="1" s="1"/>
  <c r="H74" i="1"/>
  <c r="J73" i="1"/>
  <c r="I73" i="1"/>
  <c r="K73" i="1" s="1"/>
  <c r="H73" i="1"/>
  <c r="J72" i="1"/>
  <c r="I72" i="1"/>
  <c r="K72" i="1" s="1"/>
  <c r="H72" i="1"/>
  <c r="J71" i="1"/>
  <c r="I71" i="1"/>
  <c r="K71" i="1" s="1"/>
  <c r="H71" i="1"/>
  <c r="J70" i="1"/>
  <c r="I70" i="1"/>
  <c r="K70" i="1" s="1"/>
  <c r="H70" i="1"/>
  <c r="J69" i="1"/>
  <c r="I69" i="1"/>
  <c r="K69" i="1" s="1"/>
  <c r="H69" i="1"/>
  <c r="J68" i="1"/>
  <c r="I68" i="1"/>
  <c r="K68" i="1" s="1"/>
  <c r="H68" i="1"/>
  <c r="J67" i="1"/>
  <c r="I67" i="1"/>
  <c r="K67" i="1" s="1"/>
  <c r="H67" i="1"/>
  <c r="J66" i="1"/>
  <c r="I66" i="1"/>
  <c r="K66" i="1" s="1"/>
  <c r="H66" i="1"/>
  <c r="J65" i="1"/>
  <c r="I65" i="1"/>
  <c r="K65" i="1" s="1"/>
  <c r="H65" i="1"/>
  <c r="J64" i="1"/>
  <c r="I64" i="1"/>
  <c r="K64" i="1" s="1"/>
  <c r="H64" i="1"/>
  <c r="J63" i="1"/>
  <c r="I63" i="1"/>
  <c r="K63" i="1" s="1"/>
  <c r="H63" i="1"/>
  <c r="J62" i="1"/>
  <c r="I62" i="1"/>
  <c r="K62" i="1" s="1"/>
  <c r="H62" i="1"/>
  <c r="J61" i="1"/>
  <c r="I61" i="1"/>
  <c r="K61" i="1" s="1"/>
  <c r="H61" i="1"/>
  <c r="J60" i="1"/>
  <c r="I60" i="1"/>
  <c r="K60" i="1" s="1"/>
  <c r="H60" i="1"/>
  <c r="J59" i="1"/>
  <c r="I59" i="1"/>
  <c r="K59" i="1" s="1"/>
  <c r="H59" i="1"/>
  <c r="J58" i="1"/>
  <c r="I58" i="1"/>
  <c r="K58" i="1" s="1"/>
  <c r="H58" i="1"/>
  <c r="J57" i="1"/>
  <c r="I57" i="1"/>
  <c r="K57" i="1" s="1"/>
  <c r="H57" i="1"/>
  <c r="J56" i="1"/>
  <c r="I56" i="1"/>
  <c r="K56" i="1" s="1"/>
  <c r="H56" i="1"/>
  <c r="J55" i="1"/>
  <c r="I55" i="1"/>
  <c r="K55" i="1" s="1"/>
  <c r="H55" i="1"/>
  <c r="J54" i="1"/>
  <c r="I54" i="1"/>
  <c r="K54" i="1" s="1"/>
  <c r="H54" i="1"/>
  <c r="J53" i="1"/>
  <c r="I53" i="1"/>
  <c r="K53" i="1" s="1"/>
  <c r="H53" i="1"/>
  <c r="J52" i="1"/>
  <c r="I52" i="1"/>
  <c r="K52" i="1" s="1"/>
  <c r="H52" i="1"/>
  <c r="J51" i="1"/>
  <c r="I51" i="1"/>
  <c r="K51" i="1" s="1"/>
  <c r="H51" i="1"/>
  <c r="J50" i="1"/>
  <c r="I50" i="1"/>
  <c r="K50" i="1" s="1"/>
  <c r="H50" i="1"/>
  <c r="J49" i="1"/>
  <c r="I49" i="1"/>
  <c r="K49" i="1" s="1"/>
  <c r="H49" i="1"/>
  <c r="J48" i="1"/>
  <c r="I48" i="1"/>
  <c r="K48" i="1" s="1"/>
  <c r="H48" i="1"/>
  <c r="J47" i="1"/>
  <c r="I47" i="1"/>
  <c r="K47" i="1" s="1"/>
  <c r="H47" i="1"/>
  <c r="J46" i="1"/>
  <c r="I46" i="1"/>
  <c r="K46" i="1" s="1"/>
  <c r="H46" i="1"/>
  <c r="J45" i="1"/>
  <c r="I45" i="1"/>
  <c r="K45" i="1" s="1"/>
  <c r="H45" i="1"/>
  <c r="J44" i="1"/>
  <c r="I44" i="1"/>
  <c r="K44" i="1" s="1"/>
  <c r="H44" i="1"/>
  <c r="J43" i="1"/>
  <c r="I43" i="1"/>
  <c r="K43" i="1" s="1"/>
  <c r="H43" i="1"/>
  <c r="J42" i="1"/>
  <c r="I42" i="1"/>
  <c r="K42" i="1" s="1"/>
  <c r="H42" i="1"/>
  <c r="J41" i="1"/>
  <c r="I41" i="1"/>
  <c r="K41" i="1" s="1"/>
  <c r="H41" i="1"/>
  <c r="J40" i="1"/>
  <c r="I40" i="1"/>
  <c r="K40" i="1" s="1"/>
  <c r="H40" i="1"/>
  <c r="J39" i="1"/>
  <c r="I39" i="1"/>
  <c r="K39" i="1" s="1"/>
  <c r="H39" i="1"/>
  <c r="J38" i="1"/>
  <c r="I38" i="1"/>
  <c r="K38" i="1" s="1"/>
  <c r="H38" i="1"/>
  <c r="J37" i="1"/>
  <c r="I37" i="1"/>
  <c r="K37" i="1" s="1"/>
  <c r="H37" i="1"/>
  <c r="J36" i="1"/>
  <c r="I36" i="1"/>
  <c r="K36" i="1" s="1"/>
  <c r="H36" i="1"/>
  <c r="J35" i="1"/>
  <c r="I35" i="1"/>
  <c r="K35" i="1" s="1"/>
  <c r="H35" i="1"/>
  <c r="J34" i="1"/>
  <c r="I34" i="1"/>
  <c r="K34" i="1" s="1"/>
  <c r="H34" i="1"/>
  <c r="J33" i="1"/>
  <c r="I33" i="1"/>
  <c r="K33" i="1" s="1"/>
  <c r="H33" i="1"/>
  <c r="J32" i="1"/>
  <c r="I32" i="1"/>
  <c r="K32" i="1" s="1"/>
  <c r="H32" i="1"/>
  <c r="J31" i="1"/>
  <c r="I31" i="1"/>
  <c r="K31" i="1" s="1"/>
  <c r="H31" i="1"/>
  <c r="J30" i="1"/>
  <c r="I30" i="1"/>
  <c r="K30" i="1" s="1"/>
  <c r="H30" i="1"/>
  <c r="J29" i="1"/>
  <c r="I29" i="1"/>
  <c r="K29" i="1" s="1"/>
  <c r="H29" i="1"/>
  <c r="J28" i="1"/>
  <c r="I28" i="1"/>
  <c r="K28" i="1" s="1"/>
  <c r="H28" i="1"/>
  <c r="J27" i="1"/>
  <c r="I27" i="1"/>
  <c r="K27" i="1" s="1"/>
  <c r="H27" i="1"/>
  <c r="J26" i="1"/>
  <c r="I26" i="1"/>
  <c r="K26" i="1" s="1"/>
  <c r="H26" i="1"/>
  <c r="J25" i="1"/>
  <c r="I25" i="1"/>
  <c r="K25" i="1" s="1"/>
  <c r="H25" i="1"/>
  <c r="J24" i="1"/>
  <c r="I24" i="1"/>
  <c r="K24" i="1" s="1"/>
  <c r="H24" i="1"/>
  <c r="J23" i="1"/>
  <c r="I23" i="1"/>
  <c r="K23" i="1" s="1"/>
  <c r="H23" i="1"/>
  <c r="J22" i="1"/>
  <c r="I22" i="1"/>
  <c r="K22" i="1" s="1"/>
  <c r="H22" i="1"/>
  <c r="J21" i="1"/>
  <c r="I21" i="1"/>
  <c r="K21" i="1" s="1"/>
  <c r="H21" i="1"/>
  <c r="J20" i="1"/>
  <c r="I20" i="1"/>
  <c r="K20" i="1" s="1"/>
  <c r="H20" i="1"/>
  <c r="J19" i="1"/>
  <c r="I19" i="1"/>
  <c r="K19" i="1" s="1"/>
  <c r="H19" i="1"/>
  <c r="J18" i="1"/>
  <c r="I18" i="1"/>
  <c r="K18" i="1" s="1"/>
  <c r="H18" i="1"/>
  <c r="J17" i="1"/>
  <c r="I17" i="1"/>
  <c r="K17" i="1" s="1"/>
  <c r="H17" i="1"/>
  <c r="J16" i="1"/>
  <c r="I16" i="1"/>
  <c r="K16" i="1" s="1"/>
  <c r="H16" i="1"/>
  <c r="J15" i="1"/>
  <c r="I15" i="1"/>
  <c r="K15" i="1" s="1"/>
  <c r="H15" i="1"/>
  <c r="J14" i="1"/>
  <c r="I14" i="1"/>
  <c r="K14" i="1" s="1"/>
  <c r="H14" i="1"/>
  <c r="J13" i="1"/>
  <c r="I13" i="1"/>
  <c r="K13" i="1" s="1"/>
  <c r="H13" i="1"/>
  <c r="J12" i="1"/>
  <c r="I12" i="1"/>
  <c r="K12" i="1" s="1"/>
  <c r="H12" i="1"/>
  <c r="J11" i="1"/>
  <c r="I11" i="1"/>
  <c r="K11" i="1" s="1"/>
  <c r="H11" i="1"/>
  <c r="J10" i="1"/>
  <c r="I10" i="1"/>
  <c r="K10" i="1" s="1"/>
  <c r="H10" i="1"/>
  <c r="J9" i="1"/>
  <c r="I9" i="1"/>
  <c r="K9" i="1" s="1"/>
  <c r="H9" i="1"/>
  <c r="J8" i="1"/>
  <c r="I8" i="1"/>
  <c r="K8" i="1" s="1"/>
  <c r="H8" i="1"/>
  <c r="J7" i="1"/>
  <c r="I7" i="1"/>
  <c r="K7" i="1" s="1"/>
  <c r="H7" i="1"/>
  <c r="J6" i="1"/>
  <c r="I6" i="1"/>
  <c r="K6" i="1" s="1"/>
  <c r="H6" i="1"/>
  <c r="J5" i="1"/>
  <c r="I5" i="1"/>
  <c r="K5" i="1" s="1"/>
  <c r="H5" i="1"/>
  <c r="J4" i="1"/>
  <c r="I4" i="1"/>
  <c r="K4" i="1" s="1"/>
  <c r="H4" i="1"/>
  <c r="J3" i="1"/>
  <c r="I3" i="1"/>
  <c r="K3" i="1" s="1"/>
  <c r="H3" i="1"/>
  <c r="J2" i="1"/>
  <c r="I2" i="1"/>
  <c r="K2" i="1" s="1"/>
  <c r="H2" i="1"/>
</calcChain>
</file>

<file path=xl/sharedStrings.xml><?xml version="1.0" encoding="utf-8"?>
<sst xmlns="http://schemas.openxmlformats.org/spreadsheetml/2006/main" count="773" uniqueCount="680">
  <si>
    <t>STT</t>
  </si>
  <si>
    <t>Ghi chú</t>
  </si>
  <si>
    <t>channel_id</t>
  </si>
  <si>
    <t>name</t>
  </si>
  <si>
    <t>display-number</t>
  </si>
  <si>
    <t>channel</t>
  </si>
  <si>
    <t>display-name</t>
  </si>
  <si>
    <t>icon</t>
  </si>
  <si>
    <t>get_name</t>
  </si>
  <si>
    <t>get_rtp</t>
  </si>
  <si>
    <t>check_name</t>
  </si>
  <si>
    <t>Đang lấy lịch phát sóng cho kênh: 801 (ID: 267)</t>
  </si>
  <si>
    <t>801</t>
  </si>
  <si>
    <t>Đang lấy lịch phát sóng cho kênh: 802 (ID: 349)</t>
  </si>
  <si>
    <t>802</t>
  </si>
  <si>
    <t>Đang lấy lịch phát sóng cho kênh: 803 (ID: 447)</t>
  </si>
  <si>
    <t>803</t>
  </si>
  <si>
    <t>Đang lấy lịch phát sóng cho kênh: 804 (ID: 449)</t>
  </si>
  <si>
    <t>804</t>
  </si>
  <si>
    <t>Đang lấy lịch phát sóng cho kênh: 806 (ID: 670)</t>
  </si>
  <si>
    <t>806</t>
  </si>
  <si>
    <t>Đang lấy lịch phát sóng cho kênh: 807 (ID: 736)</t>
  </si>
  <si>
    <t>807</t>
  </si>
  <si>
    <t>Đang lấy lịch phát sóng cho kênh: 903 (ID: 754)</t>
  </si>
  <si>
    <t>903</t>
  </si>
  <si>
    <t>Đang lấy lịch phát sóng cho kênh: 904 (ID: 757)</t>
  </si>
  <si>
    <t>904</t>
  </si>
  <si>
    <t>Đang lấy lịch phát sóng cho kênh: 905 (ID: 760)</t>
  </si>
  <si>
    <t>905</t>
  </si>
  <si>
    <t>Đang lấy lịch phát sóng cho kênh: 906 (ID: 763)</t>
  </si>
  <si>
    <t>906</t>
  </si>
  <si>
    <t>Đang lấy lịch phát sóng cho kênh: ABC Australia (ID: 598)</t>
  </si>
  <si>
    <t>ABC Australia</t>
  </si>
  <si>
    <t>abcaustralia</t>
  </si>
  <si>
    <t>Đang lấy lịch phát sóng cho kênh: An Giang (ID: 34)</t>
  </si>
  <si>
    <t>An Giang 2</t>
  </si>
  <si>
    <t>angiang2</t>
  </si>
  <si>
    <t>Đang lấy lịch phát sóng cho kênh: Animal Plannet HD (ID: 589)</t>
  </si>
  <si>
    <t>Animal Plannet HD</t>
  </si>
  <si>
    <t>animalplanet</t>
  </si>
  <si>
    <t>Animal Planet HD</t>
  </si>
  <si>
    <t>Đang lấy lịch phát sóng cho kênh: ANTV (ID: 35)</t>
  </si>
  <si>
    <t>ANTV</t>
  </si>
  <si>
    <t>antv</t>
  </si>
  <si>
    <t>ANTV HD</t>
  </si>
  <si>
    <t>Đang lấy lịch phát sóng cho kênh: Arirang (ID: 63)</t>
  </si>
  <si>
    <t>Arirang</t>
  </si>
  <si>
    <t>arirang</t>
  </si>
  <si>
    <t>Đang lấy lịch phát sóng cho kênh: Asian Food Network (HD) (ID: 298)</t>
  </si>
  <si>
    <t>Asian Food Network (HD)</t>
  </si>
  <si>
    <t>afn</t>
  </si>
  <si>
    <t>AFN HD</t>
  </si>
  <si>
    <t>Đang lấy lịch phát sóng cho kênh: AXN HD (ID: 590)</t>
  </si>
  <si>
    <t>AXN HD</t>
  </si>
  <si>
    <t>axn</t>
  </si>
  <si>
    <t>Đang lấy lịch phát sóng cho kênh: Bắc Giang TV (ID: 183)</t>
  </si>
  <si>
    <t>Bắc Ninh</t>
  </si>
  <si>
    <t>bacninh</t>
  </si>
  <si>
    <t>Đang lấy lịch phát sóng cho kênh: Bắc Kạn TV (ID: 182)</t>
  </si>
  <si>
    <t>Bắc Kạn TV</t>
  </si>
  <si>
    <t>backan</t>
  </si>
  <si>
    <t>Bắc Kạn</t>
  </si>
  <si>
    <t>Đang lấy lịch phát sóng cho kênh: Bạc Liêu TV (ID: 180)</t>
  </si>
  <si>
    <t>Bạc Liêu TV</t>
  </si>
  <si>
    <t>baclieu</t>
  </si>
  <si>
    <t>Bạc Liêu</t>
  </si>
  <si>
    <t>Đang lấy lịch phát sóng cho kênh: Bắc Ninh HD (ID: 360)</t>
  </si>
  <si>
    <t>Bắc Ninh HD</t>
  </si>
  <si>
    <t>Đang lấy lịch phát sóng cho kênh: Bến Tre TV (ID: 167)</t>
  </si>
  <si>
    <t>Bến Tre TV</t>
  </si>
  <si>
    <t>bentre</t>
  </si>
  <si>
    <t>Bến Tre</t>
  </si>
  <si>
    <t>Đang lấy lịch phát sóng cho kênh: Bình Định TV (ID: 170)</t>
  </si>
  <si>
    <t>Bình Định TV</t>
  </si>
  <si>
    <t>binhdinh</t>
  </si>
  <si>
    <t>Bình Định</t>
  </si>
  <si>
    <t>Đang lấy lịch phát sóng cho kênh: Bình Dương 1 HD (ID: 402)</t>
  </si>
  <si>
    <t>Bình Dương 1 HD</t>
  </si>
  <si>
    <t>binhduong1</t>
  </si>
  <si>
    <t>Bình Dương 1</t>
  </si>
  <si>
    <t>Đang lấy lịch phát sóng cho kênh: Bình Dương 2 (ID: 38)</t>
  </si>
  <si>
    <t>Bình Dương 2</t>
  </si>
  <si>
    <t>binhduong2</t>
  </si>
  <si>
    <t>Đang lấy lịch phát sóng cho kênh: Bình Phước (ID: 119)</t>
  </si>
  <si>
    <t>Bình Phước</t>
  </si>
  <si>
    <t>binhphuoc1</t>
  </si>
  <si>
    <t>Bình Phước 1</t>
  </si>
  <si>
    <t>Đang lấy lịch phát sóng cho kênh: Bình Thuận (ID: 125)</t>
  </si>
  <si>
    <t>Lâm Đồng TV2</t>
  </si>
  <si>
    <t>binhthuan</t>
  </si>
  <si>
    <t>Đang lấy lịch phát sóng cho kênh: Box Hits (HD) (ID: 105)</t>
  </si>
  <si>
    <t>Box Hits (HD)</t>
  </si>
  <si>
    <t>boxhits</t>
  </si>
  <si>
    <t>Box Hits HD</t>
  </si>
  <si>
    <t>Đang lấy lịch phát sóng cho kênh: BTV6 - Shopping 24h (ID: 115)</t>
  </si>
  <si>
    <t>BTV6 - Shopping 24h</t>
  </si>
  <si>
    <t>btv6</t>
  </si>
  <si>
    <t>BTV6</t>
  </si>
  <si>
    <t>Đang lấy lịch phát sóng cho kênh: BTV9 - An Viên TV (ID: 479)</t>
  </si>
  <si>
    <t>BTV9 - An Viên TV</t>
  </si>
  <si>
    <t>anvienhd</t>
  </si>
  <si>
    <t>An Viên HD</t>
  </si>
  <si>
    <t>Đang lấy lịch phát sóng cho kênh: Cà Mau (ID: 123)</t>
  </si>
  <si>
    <t>Cà Mau</t>
  </si>
  <si>
    <t>camau</t>
  </si>
  <si>
    <t>Đang lấy lịch phát sóng cho kênh: Cần Thơ TV (ID: 39)</t>
  </si>
  <si>
    <t>Cần Thơ TV1</t>
  </si>
  <si>
    <t>cantho</t>
  </si>
  <si>
    <t>Đang lấy lịch phát sóng cho kênh: Cao Bằng TV (ID: 141)</t>
  </si>
  <si>
    <t>Cao Bằng TV</t>
  </si>
  <si>
    <t>caobang</t>
  </si>
  <si>
    <t>Cao Bằng</t>
  </si>
  <si>
    <t>Đang lấy lịch phát sóng cho kênh: CartoonNetwork HD (ID: 592)</t>
  </si>
  <si>
    <t>CartoonNetwork HD</t>
  </si>
  <si>
    <t>cartoonhd</t>
  </si>
  <si>
    <t>Cartoon Network HD</t>
  </si>
  <si>
    <t>Đang lấy lịch phát sóng cho kênh: Channel News Asia HD (ID: 366)</t>
  </si>
  <si>
    <t>Channel News Asia HD</t>
  </si>
  <si>
    <t>cna</t>
  </si>
  <si>
    <t>Đang lấy lịch phát sóng cho kênh: CINEMAWORLD HD (ID: 523)</t>
  </si>
  <si>
    <t>CINEMAWORLD HD</t>
  </si>
  <si>
    <t>cinemaworldhd</t>
  </si>
  <si>
    <t>Cinema World HD</t>
  </si>
  <si>
    <t>Đang lấy lịch phát sóng cho kênh: CNBC (ID: 358)</t>
  </si>
  <si>
    <t>CNBC</t>
  </si>
  <si>
    <t>cnbc</t>
  </si>
  <si>
    <t>Đang lấy lịch phát sóng cho kênh: CNN HD (ID: 593)</t>
  </si>
  <si>
    <t>CNN HD</t>
  </si>
  <si>
    <t>cnn</t>
  </si>
  <si>
    <t>CNN</t>
  </si>
  <si>
    <t>Đang lấy lịch phát sóng cho kênh: Đà Nẵng 1 (ID: 90)</t>
  </si>
  <si>
    <t>Đà Nẵng 1</t>
  </si>
  <si>
    <t>danang1</t>
  </si>
  <si>
    <t>Đang lấy lịch phát sóng cho kênh: Đà Nẵng 2 (ID: 60)</t>
  </si>
  <si>
    <t>Đà Nẵng 2</t>
  </si>
  <si>
    <t>danang2</t>
  </si>
  <si>
    <t>Đang lấy lịch phát sóng cho kênh: DakLak TV (ID: 162)</t>
  </si>
  <si>
    <t>DakLak TV</t>
  </si>
  <si>
    <t>daklak</t>
  </si>
  <si>
    <t>Đắk Lắk</t>
  </si>
  <si>
    <t>Đang lấy lịch phát sóng cho kênh: DakNong TV (ID: 163)</t>
  </si>
  <si>
    <t>Lâm Đồng TV3</t>
  </si>
  <si>
    <t>daknong</t>
  </si>
  <si>
    <t>Đang lấy lịch phát sóng cho kênh: DaVinci HD (ID: 294)</t>
  </si>
  <si>
    <t>DaVinci HD</t>
  </si>
  <si>
    <t>davinci</t>
  </si>
  <si>
    <t>Đang lấy lịch phát sóng cho kênh: Điện Biên TV (ID: 158)</t>
  </si>
  <si>
    <t>Điện Biên TV</t>
  </si>
  <si>
    <t>dienbien</t>
  </si>
  <si>
    <t>Điện Biên</t>
  </si>
  <si>
    <t>Đang lấy lịch phát sóng cho kênh: Discovery(HD) (ID: 594)</t>
  </si>
  <si>
    <t>Discovery(HD)</t>
  </si>
  <si>
    <t>discoveryasiahd</t>
  </si>
  <si>
    <t>Discovery Asia HD</t>
  </si>
  <si>
    <t>Đang lấy lịch phát sóng cho kênh: DMAX (HD) (ID: 739)</t>
  </si>
  <si>
    <t>DMAX (HD)</t>
  </si>
  <si>
    <t>dmax</t>
  </si>
  <si>
    <t>Dmax</t>
  </si>
  <si>
    <t>Đang lấy lịch phát sóng cho kênh: Đồng Nai 1 HD (ID: 404)</t>
  </si>
  <si>
    <t>Đồng Nai 1 HD</t>
  </si>
  <si>
    <t>dongnai1</t>
  </si>
  <si>
    <t>Đồng Nai 1</t>
  </si>
  <si>
    <t>Đang lấy lịch phát sóng cho kênh: Đồng Nai 2 (ID: 95)</t>
  </si>
  <si>
    <t>Đồng Nai 2</t>
  </si>
  <si>
    <t>dongnai2</t>
  </si>
  <si>
    <t>Đang lấy lịch phát sóng cho kênh: Đồng Tháp (ID: 96)</t>
  </si>
  <si>
    <t>Đồng Tháp TV1</t>
  </si>
  <si>
    <t>dongthap</t>
  </si>
  <si>
    <t>Đang lấy lịch phát sóng cho kênh: DreamWorks (HD) (ID: 553)</t>
  </si>
  <si>
    <t>DreamWorks (HD)</t>
  </si>
  <si>
    <t>dreamworks</t>
  </si>
  <si>
    <t>Dreamworks HD</t>
  </si>
  <si>
    <t>Đang lấy lịch phát sóng cho kênh: DW-HD (ID: 313)</t>
  </si>
  <si>
    <t>DW-HD</t>
  </si>
  <si>
    <t>dw</t>
  </si>
  <si>
    <t>DW HD</t>
  </si>
  <si>
    <t>Đang lấy lịch phát sóng cho kênh: France24 (ID: 308)</t>
  </si>
  <si>
    <t>France24</t>
  </si>
  <si>
    <t>france24eng</t>
  </si>
  <si>
    <t>France 24 English</t>
  </si>
  <si>
    <t>Đang lấy lịch phát sóng cho kênh: FTV(HD) (ID: 595)</t>
  </si>
  <si>
    <t>FTV(HD)</t>
  </si>
  <si>
    <t>fashionhd</t>
  </si>
  <si>
    <t>Fashion TV HD</t>
  </si>
  <si>
    <t>Đang lấy lịch phát sóng cho kênh: Gia Lai TV (ID: 172)</t>
  </si>
  <si>
    <t>Gia Lai TV</t>
  </si>
  <si>
    <t>gialai</t>
  </si>
  <si>
    <t>Gia Lai</t>
  </si>
  <si>
    <t>Đang lấy lịch phát sóng cho kênh: Hà Giang TV (ID: 155)</t>
  </si>
  <si>
    <t>Hà Giang TV</t>
  </si>
  <si>
    <t>hagiang</t>
  </si>
  <si>
    <t>Hà Giang</t>
  </si>
  <si>
    <t>Đang lấy lịch phát sóng cho kênh: Hà Nam (ID: 40)</t>
  </si>
  <si>
    <t>Hà Nam</t>
  </si>
  <si>
    <t>hanam</t>
  </si>
  <si>
    <t>Đang lấy lịch phát sóng cho kênh: Hà Nội 1  HD (ID: 400)</t>
  </si>
  <si>
    <t>Hà Nội 1  HD</t>
  </si>
  <si>
    <t>hanoi1</t>
  </si>
  <si>
    <t>Hà Nội 1</t>
  </si>
  <si>
    <t>Đang lấy lịch phát sóng cho kênh: Hà Nội 2 HD (ID: 401)</t>
  </si>
  <si>
    <t>Hà Nội 2 HD</t>
  </si>
  <si>
    <t>hanoi2</t>
  </si>
  <si>
    <t>Hà Nội 2</t>
  </si>
  <si>
    <t>Đang lấy lịch phát sóng cho kênh: Hà Tĩnh TV HD (ID: 405)</t>
  </si>
  <si>
    <t>Hà Tĩnh TV HD</t>
  </si>
  <si>
    <t>hatinh</t>
  </si>
  <si>
    <t>Hà Tĩnh</t>
  </si>
  <si>
    <t>Đang lấy lịch phát sóng cho kênh: Hải Dương TV (ID: 93)</t>
  </si>
  <si>
    <t>Hải Phòng 3</t>
  </si>
  <si>
    <t>haiduong</t>
  </si>
  <si>
    <t>Đang lấy lịch phát sóng cho kênh: Hải Phòng TV HD (ID: 407)</t>
  </si>
  <si>
    <t>Hải Phòng TV HD</t>
  </si>
  <si>
    <t>haiphong</t>
  </si>
  <si>
    <t>Hải Phòng</t>
  </si>
  <si>
    <t>Đang lấy lịch phát sóng cho kênh: Hậu Giang TV (ID: 181)</t>
  </si>
  <si>
    <t>Cần Thơ TV2</t>
  </si>
  <si>
    <t>haugiang</t>
  </si>
  <si>
    <t>Đang lấy lịch phát sóng cho kênh: Hòa Bình TV (ID: 159)</t>
  </si>
  <si>
    <t>Hòa Bình TV</t>
  </si>
  <si>
    <t>hoabinh</t>
  </si>
  <si>
    <t>Hòa Bình</t>
  </si>
  <si>
    <t>Đang lấy lịch phát sóng cho kênh: HTV Key (HD) (ID: 9)</t>
  </si>
  <si>
    <t>HTV Key (HD)</t>
  </si>
  <si>
    <t>htvkey</t>
  </si>
  <si>
    <t>HTV Key</t>
  </si>
  <si>
    <t>Đang lấy lịch phát sóng cho kênh: HTV Phụ Nữ (HD) (ID: 16)</t>
  </si>
  <si>
    <t>HTV Phụ Nữ (HD)</t>
  </si>
  <si>
    <t>htvcphunuhd</t>
  </si>
  <si>
    <t>HTVC Phụ Nữ HD</t>
  </si>
  <si>
    <t>Đang lấy lịch phát sóng cho kênh: HTV Thể thao (ID: 18)</t>
  </si>
  <si>
    <t>HTV Thể thao</t>
  </si>
  <si>
    <t>htvthethaohd</t>
  </si>
  <si>
    <t>HTV Thể Thao HD</t>
  </si>
  <si>
    <t>Đang lấy lịch phát sóng cho kênh: HTV Thuần Việt HD (ID: 300)</t>
  </si>
  <si>
    <t>HTV Thuần Việt HD</t>
  </si>
  <si>
    <t>htvcthuanviethd</t>
  </si>
  <si>
    <t>HTVC Thuần Việt HD</t>
  </si>
  <si>
    <t>Đang lấy lịch phát sóng cho kênh: HTV1 HD (ID: 7)</t>
  </si>
  <si>
    <t>HTV1 HD</t>
  </si>
  <si>
    <t>htv1</t>
  </si>
  <si>
    <t>HTV1</t>
  </si>
  <si>
    <t>Đang lấy lịch phát sóng cho kênh: HTV2 HD (ID: 127)</t>
  </si>
  <si>
    <t>HTV2 HD</t>
  </si>
  <si>
    <t>htv2hd</t>
  </si>
  <si>
    <t>Đang lấy lịch phát sóng cho kênh: HTV3 HD (ID: 110)</t>
  </si>
  <si>
    <t>HTV3 HD</t>
  </si>
  <si>
    <t>htv3</t>
  </si>
  <si>
    <t>HTV3</t>
  </si>
  <si>
    <t>Đang lấy lịch phát sóng cho kênh: HTV7 HD (ID: 128)</t>
  </si>
  <si>
    <t>HTV7 HD</t>
  </si>
  <si>
    <t>htv7hd</t>
  </si>
  <si>
    <t>Đang lấy lịch phát sóng cho kênh: HTV9 HD (ID: 190)</t>
  </si>
  <si>
    <t>HTV9 HD</t>
  </si>
  <si>
    <t>htv9hd</t>
  </si>
  <si>
    <t>Đang lấy lịch phát sóng cho kênh: HTVC Ca Nhạc (HD) (ID: 12)</t>
  </si>
  <si>
    <t>HTVC Ca Nhạc (HD)</t>
  </si>
  <si>
    <t>htvccanhachd</t>
  </si>
  <si>
    <t>HTVC Ca Nhạc HD</t>
  </si>
  <si>
    <t>Đang lấy lịch phát sóng cho kênh: HTVC Du Lịch Cuộc Sống (HD) (ID: 13)</t>
  </si>
  <si>
    <t>HTVC Du Lịch Cuộc Sống (HD)</t>
  </si>
  <si>
    <t>htvcdulichhd</t>
  </si>
  <si>
    <t>HTVC Du Lịch HD</t>
  </si>
  <si>
    <t>Đang lấy lịch phát sóng cho kênh: HTVC Gia Đình (HD) (ID: 14)</t>
  </si>
  <si>
    <t>HTVC Gia Đình (HD)</t>
  </si>
  <si>
    <t>htvcgiadinhhd</t>
  </si>
  <si>
    <t>HTVC Gia Đình HD</t>
  </si>
  <si>
    <t>Đang lấy lịch phát sóng cho kênh: HTVC Phim HD (ID: 302)</t>
  </si>
  <si>
    <t>HTVC Phim HD</t>
  </si>
  <si>
    <t>htvcphimhd</t>
  </si>
  <si>
    <t>Đang lấy lịch phát sóng cho kênh: HTVC Plus HD (ID: 384)</t>
  </si>
  <si>
    <t>HTVC Plus HD</t>
  </si>
  <si>
    <t>htvcplushd</t>
  </si>
  <si>
    <t>Đang lấy lịch phát sóng cho kênh: Huế TV1 (ID: 168)</t>
  </si>
  <si>
    <t>Huế TV</t>
  </si>
  <si>
    <t>hue</t>
  </si>
  <si>
    <t>Đang lấy lịch phát sóng cho kênh: Hưng Yên TV HD (ID: 408)</t>
  </si>
  <si>
    <t>Hưng Yên TV HD</t>
  </si>
  <si>
    <t>hungyen</t>
  </si>
  <si>
    <t>Hưng Yên</t>
  </si>
  <si>
    <t>Đang lấy lịch phát sóng cho kênh: K+ ACTION (ID: 195)</t>
  </si>
  <si>
    <t>K+ ACTION</t>
  </si>
  <si>
    <t>kaction</t>
  </si>
  <si>
    <t>K+Action</t>
  </si>
  <si>
    <t>Đang lấy lịch phát sóng cho kênh: K+ ACTION (HD) (ID: 230)</t>
  </si>
  <si>
    <t>K+ ACTION (HD)</t>
  </si>
  <si>
    <t>Đang lấy lịch phát sóng cho kênh: K+ CINE (ID: 194)</t>
  </si>
  <si>
    <t>K+ CINE</t>
  </si>
  <si>
    <t>kcine</t>
  </si>
  <si>
    <t>K+Cine HD</t>
  </si>
  <si>
    <t>Đang lấy lịch phát sóng cho kênh: K+ CINE (HD) (ID: 228)</t>
  </si>
  <si>
    <t>K+ CINE (HD)</t>
  </si>
  <si>
    <t>Đang lấy lịch phát sóng cho kênh: K+ Kids (ID: 751)</t>
  </si>
  <si>
    <t>K+ Kids</t>
  </si>
  <si>
    <t>kkids</t>
  </si>
  <si>
    <t>K+Kids HD</t>
  </si>
  <si>
    <t>Đang lấy lịch phát sóng cho kênh: K+ Kids (HD) (ID: 748)</t>
  </si>
  <si>
    <t>K+ Kids (HD)</t>
  </si>
  <si>
    <t>Đang lấy lịch phát sóng cho kênh: K+ SPORT1 (ID: 196)</t>
  </si>
  <si>
    <t>K+ SPORT1</t>
  </si>
  <si>
    <t>ksport1</t>
  </si>
  <si>
    <t>K+Sport1 HD</t>
  </si>
  <si>
    <t>Đang lấy lịch phát sóng cho kênh: K+ SPORT1 (HD) (ID: 229)</t>
  </si>
  <si>
    <t>K+ SPORT1 (HD)</t>
  </si>
  <si>
    <t>Đang lấy lịch phát sóng cho kênh: K+ SPORT2 (ID: 249)</t>
  </si>
  <si>
    <t>K+ SPORT2</t>
  </si>
  <si>
    <t>ksport2</t>
  </si>
  <si>
    <t>K+Sport2 HD</t>
  </si>
  <si>
    <t>Đang lấy lịch phát sóng cho kênh: K+ SPORT2 (HD) (ID: 247)</t>
  </si>
  <si>
    <t>K+ SPORT2 (HD)</t>
  </si>
  <si>
    <t>Đang lấy lịch phát sóng cho kênh: KBS World (ID: 306)</t>
  </si>
  <si>
    <t>KBS World</t>
  </si>
  <si>
    <t>kbsworld</t>
  </si>
  <si>
    <t>Đang lấy lịch phát sóng cho kênh: Khánh Hòa (ID: 114)</t>
  </si>
  <si>
    <t>Khánh Hòa</t>
  </si>
  <si>
    <t>khanhhoa</t>
  </si>
  <si>
    <t>Đang lấy lịch phát sóng cho kênh: Kiên Giang (HD) (ID: 433)</t>
  </si>
  <si>
    <t>An Giang 1</t>
  </si>
  <si>
    <t>kiengiang</t>
  </si>
  <si>
    <t>Đang lấy lịch phát sóng cho kênh: KonTum TV (ID: 173)</t>
  </si>
  <si>
    <t>KonTum TV</t>
  </si>
  <si>
    <t>kontum</t>
  </si>
  <si>
    <t>Kon Tum</t>
  </si>
  <si>
    <t>Đang lấy lịch phát sóng cho kênh: Lai Châu TV (ID: 156)</t>
  </si>
  <si>
    <t>Lai Châu TV</t>
  </si>
  <si>
    <t>laichau</t>
  </si>
  <si>
    <t>Lai Châu</t>
  </si>
  <si>
    <t>Đang lấy lịch phát sóng cho kênh: Lâm Đồng TV (ID: 164)</t>
  </si>
  <si>
    <t>Lâm Đồng TV1</t>
  </si>
  <si>
    <t>lamdong</t>
  </si>
  <si>
    <t>Đang lấy lịch phát sóng cho kênh: Lạng Sơn TV HD (ID: 193)</t>
  </si>
  <si>
    <t>Lạng Sơn TV HD</t>
  </si>
  <si>
    <t>langson</t>
  </si>
  <si>
    <t>Lạng Sơn</t>
  </si>
  <si>
    <t>Đang lấy lịch phát sóng cho kênh: Lào Cai TV (ID: 116)</t>
  </si>
  <si>
    <t>Lào Cai TV</t>
  </si>
  <si>
    <t>laocai</t>
  </si>
  <si>
    <t>Lào Cai</t>
  </si>
  <si>
    <t>Đang lấy lịch phát sóng cho kênh: Long An (ID: 47)</t>
  </si>
  <si>
    <t>Tây Ninh 1</t>
  </si>
  <si>
    <t>longan</t>
  </si>
  <si>
    <t>Đang lấy lịch phát sóng cho kênh: Music Box (HD) (ID: 69)</t>
  </si>
  <si>
    <t>Music Box (HD)</t>
  </si>
  <si>
    <t>musicbox</t>
  </si>
  <si>
    <t>Music Box HD</t>
  </si>
  <si>
    <t>Đang lấy lịch phát sóng cho kênh: Nam Định TV (ID: 149)</t>
  </si>
  <si>
    <t>Nam Định TV</t>
  </si>
  <si>
    <t>namdinh</t>
  </si>
  <si>
    <t>Nam Định</t>
  </si>
  <si>
    <t>Đang lấy lịch phát sóng cho kênh: Nghệ An (HD) (ID: 453)</t>
  </si>
  <si>
    <t>Nghệ An (HD)</t>
  </si>
  <si>
    <t>nghean</t>
  </si>
  <si>
    <t>Nghệ An</t>
  </si>
  <si>
    <t>Đang lấy lịch phát sóng cho kênh: NHK World Japan HD (ID: 185)</t>
  </si>
  <si>
    <t>NHK World Japan HD</t>
  </si>
  <si>
    <t>nhkworld</t>
  </si>
  <si>
    <t>NHK World</t>
  </si>
  <si>
    <t>Đang lấy lịch phát sóng cho kênh: Ninh Bình TV (ID: 160)</t>
  </si>
  <si>
    <t>Ninh Bình TV</t>
  </si>
  <si>
    <t>ninhbinh</t>
  </si>
  <si>
    <t>Ninh Bình</t>
  </si>
  <si>
    <t>Đang lấy lịch phát sóng cho kênh: Ninh Thuận TV (ID: 176)</t>
  </si>
  <si>
    <t>Khánh Hòa 1</t>
  </si>
  <si>
    <t>ninhthuan</t>
  </si>
  <si>
    <t>Đang lấy lịch phát sóng cho kênh: ON Bibi HD (ID: 205)</t>
  </si>
  <si>
    <t>ON Bibi HD</t>
  </si>
  <si>
    <t>onbibi</t>
  </si>
  <si>
    <t>ON BiBi</t>
  </si>
  <si>
    <t>Đang lấy lịch phát sóng cho kênh: ON Cine HD (ID: 204)</t>
  </si>
  <si>
    <t>ON Cine HD</t>
  </si>
  <si>
    <t>oncine</t>
  </si>
  <si>
    <t>ON Cine</t>
  </si>
  <si>
    <t>Đang lấy lịch phát sóng cho kênh: ON E Channel (ID: 202)</t>
  </si>
  <si>
    <t>ON E Channel</t>
  </si>
  <si>
    <t>onechannel</t>
  </si>
  <si>
    <t>ON Echannel</t>
  </si>
  <si>
    <t>Đang lấy lịch phát sóng cho kênh: ON Football (HD) (ID: 208)</t>
  </si>
  <si>
    <t>ON Football (HD)</t>
  </si>
  <si>
    <t>onfootball</t>
  </si>
  <si>
    <t>ON Football HD</t>
  </si>
  <si>
    <t>Đang lấy lịch phát sóng cho kênh: ON Golf (ID: 415)</t>
  </si>
  <si>
    <t>ON Golf</t>
  </si>
  <si>
    <t>ongolf</t>
  </si>
  <si>
    <t>Đang lấy lịch phát sóng cho kênh: ON InfoTV HD (ID: 437)</t>
  </si>
  <si>
    <t>ON InfoTV HD</t>
  </si>
  <si>
    <t>oninfotv</t>
  </si>
  <si>
    <t>ON Info TV</t>
  </si>
  <si>
    <t>Đang lấy lịch phát sóng cho kênh: ON Kids (HD) (ID: 742)</t>
  </si>
  <si>
    <t>ON Kids (HD)</t>
  </si>
  <si>
    <t>onkids</t>
  </si>
  <si>
    <t>ON Kids</t>
  </si>
  <si>
    <t>Đang lấy lịch phát sóng cho kênh: ON Life (HD) (ID: 745)</t>
  </si>
  <si>
    <t>ON Life (HD)</t>
  </si>
  <si>
    <t>onlife</t>
  </si>
  <si>
    <t>ON Life</t>
  </si>
  <si>
    <t>Đang lấy lịch phát sóng cho kênh: ON MOVIES (HD) (ID: 435)</t>
  </si>
  <si>
    <t>ON MOVIES (HD)</t>
  </si>
  <si>
    <t>onmovies</t>
  </si>
  <si>
    <t>ON Movies</t>
  </si>
  <si>
    <t>Đang lấy lịch phát sóng cho kênh: ON MUSIC HD (ID: 439)</t>
  </si>
  <si>
    <t>ON MUSIC HD</t>
  </si>
  <si>
    <t>onmusic</t>
  </si>
  <si>
    <t>ON Music</t>
  </si>
  <si>
    <t>Đang lấy lịch phát sóng cho kênh: ON O2TV HD (ID: 27)</t>
  </si>
  <si>
    <t>ON O2TV HD</t>
  </si>
  <si>
    <t>ono2tv</t>
  </si>
  <si>
    <t>ON O2TV</t>
  </si>
  <si>
    <t>Đang lấy lịch phát sóng cho kênh: ON Phim Việt HD (ID: 198)</t>
  </si>
  <si>
    <t>ON Phim Việt HD</t>
  </si>
  <si>
    <t>onphimviet</t>
  </si>
  <si>
    <t>ON Phim Việt</t>
  </si>
  <si>
    <t>Đang lấy lịch phát sóng cho kênh: ON Sports (HD) (ID: 200)</t>
  </si>
  <si>
    <t>ON Sports (HD)</t>
  </si>
  <si>
    <t>onsports</t>
  </si>
  <si>
    <t>ON Sports HD</t>
  </si>
  <si>
    <t>Đang lấy lịch phát sóng cho kênh: ON Sports News (ID: 441)</t>
  </si>
  <si>
    <t>ON Sports News</t>
  </si>
  <si>
    <t>onsportsnews</t>
  </si>
  <si>
    <t>Đang lấy lịch phát sóng cho kênh: On Sports+ HD (ID: 203)</t>
  </si>
  <si>
    <t>On Sports+ HD</t>
  </si>
  <si>
    <t>onsportsplus</t>
  </si>
  <si>
    <t>ON Sports+</t>
  </si>
  <si>
    <t>Đang lấy lịch phát sóng cho kênh: ON Style TV HD (ID: 206)</t>
  </si>
  <si>
    <t>ON Style TV HD</t>
  </si>
  <si>
    <t>onstyle</t>
  </si>
  <si>
    <t>On Style</t>
  </si>
  <si>
    <t>Đang lấy lịch phát sóng cho kênh: ON Trending HD (ID: 209)</t>
  </si>
  <si>
    <t>ON Trending HD</t>
  </si>
  <si>
    <t>ontrending</t>
  </si>
  <si>
    <t>ON Trending</t>
  </si>
  <si>
    <t>Đang lấy lịch phát sóng cho kênh: ON Vfamily HD (ID: 241)</t>
  </si>
  <si>
    <t>ON Vfamily HD</t>
  </si>
  <si>
    <t>onvfamily</t>
  </si>
  <si>
    <t>ON VFamily</t>
  </si>
  <si>
    <t>Đang lấy lịch phát sóng cho kênh: ON Vie Dramas (ID: 201)</t>
  </si>
  <si>
    <t>ON Vie Dramas</t>
  </si>
  <si>
    <t>onviedramas</t>
  </si>
  <si>
    <t>ON Vie DRAMAS</t>
  </si>
  <si>
    <t>Đang lấy lịch phát sóng cho kênh: ON Vie Giải trí (ID: 197)</t>
  </si>
  <si>
    <t>ON Vie Giải trí</t>
  </si>
  <si>
    <t>onviegiaitri</t>
  </si>
  <si>
    <t>ON Vie Giải Trí</t>
  </si>
  <si>
    <t>Đang lấy lịch phát sóng cho kênh: Outdoor HD (ID: 191)</t>
  </si>
  <si>
    <t>Outdoor HD</t>
  </si>
  <si>
    <t>outdoorhd</t>
  </si>
  <si>
    <t>Outdoor Channel HD</t>
  </si>
  <si>
    <t>Đang lấy lịch phát sóng cho kênh: Phú Thọ TV (HD) (ID: 410)</t>
  </si>
  <si>
    <t>Phú Thọ TV (HD)</t>
  </si>
  <si>
    <t>phutho</t>
  </si>
  <si>
    <t>Phú Thọ</t>
  </si>
  <si>
    <t>Đang lấy lịch phát sóng cho kênh: PhuYenTV (ID: 245)</t>
  </si>
  <si>
    <t>PhuYenTV</t>
  </si>
  <si>
    <t>phuyen</t>
  </si>
  <si>
    <t>Phú Yên</t>
  </si>
  <si>
    <t>Đang lấy lịch phát sóng cho kênh: QPVN (HD) (ID: 227)</t>
  </si>
  <si>
    <t>QPVN (HD)</t>
  </si>
  <si>
    <t>qpvnhd</t>
  </si>
  <si>
    <t>QPVN HD</t>
  </si>
  <si>
    <t>Đang lấy lịch phát sóng cho kênh: Quảng Bình (ID: 120)</t>
  </si>
  <si>
    <t>Quảng Bình</t>
  </si>
  <si>
    <t>quangbinh</t>
  </si>
  <si>
    <t>Đang lấy lịch phát sóng cho kênh: Quảng Nam (ID: 179)</t>
  </si>
  <si>
    <t>Quảng Nam</t>
  </si>
  <si>
    <t>quangnam</t>
  </si>
  <si>
    <t>Đang lấy lịch phát sóng cho kênh: Quảng Ngãi TV (HD) (ID: 409)</t>
  </si>
  <si>
    <t>Quảng Ngãi (HD)</t>
  </si>
  <si>
    <t>quangngai</t>
  </si>
  <si>
    <t>Đang lấy lịch phát sóng cho kênh: Quảng Ninh1 (QTV1) HD (ID: 455)</t>
  </si>
  <si>
    <t>Quảng Ninh1 (QTV1) HD</t>
  </si>
  <si>
    <t>quangninh1</t>
  </si>
  <si>
    <t>Quảng Ninh 1</t>
  </si>
  <si>
    <t>Đang lấy lịch phát sóng cho kênh: Quảng Ninh3 (QTV3) HD (ID: 457)</t>
  </si>
  <si>
    <t>Quảng Ninh3 (QTV3) HD</t>
  </si>
  <si>
    <t>quangninh3</t>
  </si>
  <si>
    <t>Quảng Ninh 3</t>
  </si>
  <si>
    <t>Đang lấy lịch phát sóng cho kênh: Quảng Trị HD (ID: 121)</t>
  </si>
  <si>
    <t>Quảng Trị HD</t>
  </si>
  <si>
    <t>quangtri</t>
  </si>
  <si>
    <t>Quảng Trị</t>
  </si>
  <si>
    <t>Đang lấy lịch phát sóng cho kênh: SCTV - Phim Tổng hợp (ID: 766)</t>
  </si>
  <si>
    <t>SCTV - Phim Tổng hợp</t>
  </si>
  <si>
    <t>sctvhdpth</t>
  </si>
  <si>
    <t>SCTV HD Phim Tổng Hợp</t>
  </si>
  <si>
    <t>Đang lấy lịch phát sóng cho kênh: SCTV 22 - SSportT1 (ID: 829)</t>
  </si>
  <si>
    <t>SCTV 22 - SSportT1</t>
  </si>
  <si>
    <t>sctv22hd</t>
  </si>
  <si>
    <t>SCTV22 HD</t>
  </si>
  <si>
    <t>Đang lấy lịch phát sóng cho kênh: SCTV1 (ID: 769)</t>
  </si>
  <si>
    <t>SCTV1</t>
  </si>
  <si>
    <t>sctv1hd</t>
  </si>
  <si>
    <t>SCTV1 HD</t>
  </si>
  <si>
    <t>Đang lấy lịch phát sóng cho kênh: SCTV11 (ID: 793)</t>
  </si>
  <si>
    <t>SCTV11</t>
  </si>
  <si>
    <t>sctv11hd</t>
  </si>
  <si>
    <t>SCTV11 HD</t>
  </si>
  <si>
    <t>Đang lấy lịch phát sóng cho kênh: SCTV12 (ID: 796)</t>
  </si>
  <si>
    <t>SCTV12</t>
  </si>
  <si>
    <t>sctv12hd</t>
  </si>
  <si>
    <t>SCTV12 HD</t>
  </si>
  <si>
    <t>Đang lấy lịch phát sóng cho kênh: SCTV13 (ID: 799)</t>
  </si>
  <si>
    <t>SCTV13</t>
  </si>
  <si>
    <t>sctv13hd</t>
  </si>
  <si>
    <t>SCTV13 HD</t>
  </si>
  <si>
    <t>Đang lấy lịch phát sóng cho kênh: SCTV14 (ID: 802)</t>
  </si>
  <si>
    <t>SCTV14</t>
  </si>
  <si>
    <t>sctv14hd</t>
  </si>
  <si>
    <t>SCTV14 HD</t>
  </si>
  <si>
    <t>Đang lấy lịch phát sóng cho kênh: SCTV15 - SSportT2 (ID: 823)</t>
  </si>
  <si>
    <t>SCTV15 - SSportT2</t>
  </si>
  <si>
    <t>sctv15hd</t>
  </si>
  <si>
    <t>SCTV15 HD</t>
  </si>
  <si>
    <t>Đang lấy lịch phát sóng cho kênh: SCTV16 (ID: 805)</t>
  </si>
  <si>
    <t>SCTV16</t>
  </si>
  <si>
    <t>sctv16hd</t>
  </si>
  <si>
    <t>SCTV16 HD</t>
  </si>
  <si>
    <t>Đang lấy lịch phát sóng cho kênh: SCTV17 - Ssport (ID: 826)</t>
  </si>
  <si>
    <t>SCTV17 - Ssport</t>
  </si>
  <si>
    <t>sctv17hd</t>
  </si>
  <si>
    <t>SCTV17 HD</t>
  </si>
  <si>
    <t>Đang lấy lịch phát sóng cho kênh: SCTV18 (ID: 808)</t>
  </si>
  <si>
    <t>SCTV18</t>
  </si>
  <si>
    <t>sctv18hd</t>
  </si>
  <si>
    <t>SCTV18 HD</t>
  </si>
  <si>
    <t>Đang lấy lịch phát sóng cho kênh: SCTV19 (ID: 811)</t>
  </si>
  <si>
    <t>SCTV19</t>
  </si>
  <si>
    <t>sctv19hd</t>
  </si>
  <si>
    <t>SCTV19 HD</t>
  </si>
  <si>
    <t>Đang lấy lịch phát sóng cho kênh: SCTV2 (ID: 772)</t>
  </si>
  <si>
    <t>SCTV2</t>
  </si>
  <si>
    <t>sctv2hd</t>
  </si>
  <si>
    <t>SCTV2 HD</t>
  </si>
  <si>
    <t>Đang lấy lịch phát sóng cho kênh: SCTV20 (ID: 814)</t>
  </si>
  <si>
    <t>SCTV20</t>
  </si>
  <si>
    <t>sctv20hd</t>
  </si>
  <si>
    <t>SCTV20 HD</t>
  </si>
  <si>
    <t>Đang lấy lịch phát sóng cho kênh: SCTV21 (ID: 817)</t>
  </si>
  <si>
    <t>SCTV21</t>
  </si>
  <si>
    <t>sctv21hd</t>
  </si>
  <si>
    <t>SCTV21 HD</t>
  </si>
  <si>
    <t>Đang lấy lịch phát sóng cho kênh: SCTV3 (ID: 775)</t>
  </si>
  <si>
    <t>SCTV3</t>
  </si>
  <si>
    <t>sctv3hd</t>
  </si>
  <si>
    <t>SCTV3 HD</t>
  </si>
  <si>
    <t>Đang lấy lịch phát sóng cho kênh: SCTV4 (ID: 778)</t>
  </si>
  <si>
    <t>SCTV4</t>
  </si>
  <si>
    <t>sctv4hd</t>
  </si>
  <si>
    <t>SCTV4 HD</t>
  </si>
  <si>
    <t>Đang lấy lịch phát sóng cho kênh: SCTV6 (ID: 781)</t>
  </si>
  <si>
    <t>SCTV6</t>
  </si>
  <si>
    <t>sctv6hd</t>
  </si>
  <si>
    <t>SCTV6 HD</t>
  </si>
  <si>
    <t>Đang lấy lịch phát sóng cho kênh: SCTV7 (ID: 784)</t>
  </si>
  <si>
    <t>SCTV7</t>
  </si>
  <si>
    <t>sctv7hd</t>
  </si>
  <si>
    <t>SCTV7 HD</t>
  </si>
  <si>
    <t>Đang lấy lịch phát sóng cho kênh: SCTV8 (ID: 787)</t>
  </si>
  <si>
    <t>SCTV8</t>
  </si>
  <si>
    <t>sctv8hd</t>
  </si>
  <si>
    <t>SCTV8 HD</t>
  </si>
  <si>
    <t>Đang lấy lịch phát sóng cho kênh: SCTV9 (ID: 790)</t>
  </si>
  <si>
    <t>SCTV9</t>
  </si>
  <si>
    <t>sctv9hd</t>
  </si>
  <si>
    <t>SCTV9 HD</t>
  </si>
  <si>
    <t>Đang lấy lịch phát sóng cho kênh: Sóc Trăng (ID: 52)</t>
  </si>
  <si>
    <t>Cần Thơ TV3</t>
  </si>
  <si>
    <t>soctrang</t>
  </si>
  <si>
    <t>Đang lấy lịch phát sóng cho kênh: Sơn La TV (ID: 157)</t>
  </si>
  <si>
    <t>Sơn La TV</t>
  </si>
  <si>
    <t>sonla</t>
  </si>
  <si>
    <t>Sơn La</t>
  </si>
  <si>
    <t>Đang lấy lịch phát sóng cho kênh: SPOTV (HD) (ID: 632)</t>
  </si>
  <si>
    <t>SPOTV (HD)</t>
  </si>
  <si>
    <t>spotv1</t>
  </si>
  <si>
    <t>SPOTV1 HD</t>
  </si>
  <si>
    <t>Đang lấy lịch phát sóng cho kênh: SPOTV2 (HD) (ID: 633)</t>
  </si>
  <si>
    <t>SPOTV2 (HD)</t>
  </si>
  <si>
    <t>spotv2</t>
  </si>
  <si>
    <t>SPOTV2 HD</t>
  </si>
  <si>
    <t>Đang lấy lịch phát sóng cho kênh: Tây Ninh HD (ID: 53)</t>
  </si>
  <si>
    <t>Tây Ninh 2 (HD)</t>
  </si>
  <si>
    <t>tayninh</t>
  </si>
  <si>
    <t>Đang lấy lịch phát sóng cho kênh: Thái Bình TV (ID: 122)</t>
  </si>
  <si>
    <t>Thái Bình TV</t>
  </si>
  <si>
    <t>thaibinh</t>
  </si>
  <si>
    <t>Thái Bình</t>
  </si>
  <si>
    <t>Đang lấy lịch phát sóng cho kênh: Thái Nguyên TV1 HD (ID: 406)</t>
  </si>
  <si>
    <t>Thái Nguyên</t>
  </si>
  <si>
    <t>thainguyen</t>
  </si>
  <si>
    <t>Đang lấy lịch phát sóng cho kênh: Thanh Hóa TV HD (ID: 477)</t>
  </si>
  <si>
    <t>Thanh Hóa TV HD</t>
  </si>
  <si>
    <t>thanhhoa</t>
  </si>
  <si>
    <t>Thanh Hóa</t>
  </si>
  <si>
    <t>Đang lấy lịch phát sóng cho kênh: THP+ (ID: 616)</t>
  </si>
  <si>
    <t>THP+</t>
  </si>
  <si>
    <t>haiphongplus</t>
  </si>
  <si>
    <t>Hải Phòng +</t>
  </si>
  <si>
    <t>Đang lấy lịch phát sóng cho kênh: Tiền Giang HD (ID: 54)</t>
  </si>
  <si>
    <t>Đồng Tháp TV2</t>
  </si>
  <si>
    <t>tiengiang</t>
  </si>
  <si>
    <t>Đang lấy lịch phát sóng cho kênh: TLC HD (ID: 596)</t>
  </si>
  <si>
    <t>TLC HD</t>
  </si>
  <si>
    <t>tlchd</t>
  </si>
  <si>
    <t>Travel &amp; Living HD</t>
  </si>
  <si>
    <t>Đang lấy lịch phát sóng cho kênh: Trà Vinh TV (ID: 175)</t>
  </si>
  <si>
    <t>Vĩnh Long 5</t>
  </si>
  <si>
    <t>travinh</t>
  </si>
  <si>
    <t>Đang lấy lịch phát sóng cho kênh: Tuyên Quang TV (ID: 154)</t>
  </si>
  <si>
    <t>Tuyên Quang TV</t>
  </si>
  <si>
    <t>tuyenquang</t>
  </si>
  <si>
    <t>Tuyên Quang</t>
  </si>
  <si>
    <t>Đang lấy lịch phát sóng cho kênh: TV5 MONDE (ID: 83)</t>
  </si>
  <si>
    <t>TV5 MONDE</t>
  </si>
  <si>
    <t>tv5monde</t>
  </si>
  <si>
    <t>TV5 Monde</t>
  </si>
  <si>
    <t>Đang lấy lịch phát sóng cho kênh: Vĩnh Long 1 HD (ID: 421)</t>
  </si>
  <si>
    <t>Vĩnh Long 1 HD</t>
  </si>
  <si>
    <t>vinhlong1hd</t>
  </si>
  <si>
    <t>THVL1 HD</t>
  </si>
  <si>
    <t>Đang lấy lịch phát sóng cho kênh: Vĩnh Long 2 HD (ID: 423)</t>
  </si>
  <si>
    <t>Vĩnh Long 2 HD</t>
  </si>
  <si>
    <t>vinhlong2hd</t>
  </si>
  <si>
    <t>THVL2 HD</t>
  </si>
  <si>
    <t>Đang lấy lịch phát sóng cho kênh: Vĩnh Long 3 HD (ID: 425)</t>
  </si>
  <si>
    <t>Vĩnh Long 3 HD</t>
  </si>
  <si>
    <t>vinhlong3hd</t>
  </si>
  <si>
    <t>THVL3 HD</t>
  </si>
  <si>
    <t>Đang lấy lịch phát sóng cho kênh: Vĩnh Long 4 HD (ID: 429)</t>
  </si>
  <si>
    <t>Vĩnh Long 4 HD</t>
  </si>
  <si>
    <t>vinhlong4hd</t>
  </si>
  <si>
    <t>THVL4 HD</t>
  </si>
  <si>
    <t>Đang lấy lịch phát sóng cho kênh: Vĩnh Phúc (ID: 57)</t>
  </si>
  <si>
    <t>Vĩnh Phúc</t>
  </si>
  <si>
    <t>vinhphuc</t>
  </si>
  <si>
    <t>Đang lấy lịch phát sóng cho kênh: VTV Cần Thơ (ID: 212)</t>
  </si>
  <si>
    <t>VTV Cần Thơ</t>
  </si>
  <si>
    <t>vtvcantho</t>
  </si>
  <si>
    <t>VTV Cần Thơ HD</t>
  </si>
  <si>
    <t>Đang lấy lịch phát sóng cho kênh: VTV1 HD (ID: 210)</t>
  </si>
  <si>
    <t>VTV1 HD</t>
  </si>
  <si>
    <t>vtv1hd</t>
  </si>
  <si>
    <t>Đang lấy lịch phát sóng cho kênh: VTV2 HD (ID: 377)</t>
  </si>
  <si>
    <t>VTV2 HD</t>
  </si>
  <si>
    <t>vtv2hd</t>
  </si>
  <si>
    <t>Đang lấy lịch phát sóng cho kênh: VTV3 HD (ID: 211)</t>
  </si>
  <si>
    <t>VTV3 HD</t>
  </si>
  <si>
    <t>vtv3hd</t>
  </si>
  <si>
    <t>Đang lấy lịch phát sóng cho kênh: VTV4 HD (ID: 378)</t>
  </si>
  <si>
    <t>VTV4 HD</t>
  </si>
  <si>
    <t>vtv4hd</t>
  </si>
  <si>
    <t>Đang lấy lịch phát sóng cho kênh: VTV5 HD (ID: 379)</t>
  </si>
  <si>
    <t>VTV5 HD</t>
  </si>
  <si>
    <t>vtv5hd</t>
  </si>
  <si>
    <t>Đang lấy lịch phát sóng cho kênh: VTV5 Tây Nam Bộ (HD) (ID: 615)</t>
  </si>
  <si>
    <t>VTV5 Tây Nam Bộ (HD)</t>
  </si>
  <si>
    <t>vtv5hdtnb</t>
  </si>
  <si>
    <t>VTV5 HD - Tây Nam Bộ</t>
  </si>
  <si>
    <t>Đang lấy lịch phát sóng cho kênh: VTV5 Tây Nguyên (HD) (ID: 642)</t>
  </si>
  <si>
    <t>VTV5 Tây Nguyên (HD)</t>
  </si>
  <si>
    <t>vtv5hdtn</t>
  </si>
  <si>
    <t>VTV5 HD - Tây Nguyên</t>
  </si>
  <si>
    <t>Đang lấy lịch phát sóng cho kênh: VTV7 HD (ID: 459)</t>
  </si>
  <si>
    <t>VTV7 HD</t>
  </si>
  <si>
    <t>vtv7hd</t>
  </si>
  <si>
    <t>Đang lấy lịch phát sóng cho kênh: VTV8 HD (ID: 380)</t>
  </si>
  <si>
    <t>VTV8 HD</t>
  </si>
  <si>
    <t>vtv8hd</t>
  </si>
  <si>
    <t>Đang lấy lịch phát sóng cho kênh: VTV9 HD (ID: 381)</t>
  </si>
  <si>
    <t>VTV9 HD</t>
  </si>
  <si>
    <t>vtv9hd</t>
  </si>
  <si>
    <t>Đang lấy lịch phát sóng cho kênh: Vũng Tàu HD (ID: 97)</t>
  </si>
  <si>
    <t>Vũng Tàu HD</t>
  </si>
  <si>
    <t>vungtau</t>
  </si>
  <si>
    <t>Vũng Tàu</t>
  </si>
  <si>
    <t>Đang lấy lịch phát sóng cho kênh: Warner HD (ID: 597)</t>
  </si>
  <si>
    <t>Warner HD</t>
  </si>
  <si>
    <t>warnertvhd</t>
  </si>
  <si>
    <t>Warner TV HD</t>
  </si>
  <si>
    <t>Đang lấy lịch phát sóng cho kênh: Yên Bái TV (ID: 153)</t>
  </si>
  <si>
    <t>Yên Bái TV</t>
  </si>
  <si>
    <t>yenbai</t>
  </si>
  <si>
    <t>Yên Bái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</si>
</sst>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ytv_com_vn_chann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channel_id</v>
          </cell>
          <cell r="B1" t="str">
            <v>name</v>
          </cell>
          <cell r="C1" t="str">
            <v>url_b2b</v>
          </cell>
          <cell r="D1" t="str">
            <v>logo</v>
          </cell>
        </row>
        <row r="2">
          <cell r="A2">
            <v>210</v>
          </cell>
          <cell r="B2" t="str">
            <v>VTV1 HD</v>
          </cell>
          <cell r="C2" t="str">
            <v>rtp://232.84.1.117:10254</v>
          </cell>
          <cell r="D2" t="str">
            <v>https://s129144.cdn.mytvnet.vn/vimages/09/99/9f/f7/7a/ab/099f7-pvtv1hd-channel-unkn.png</v>
          </cell>
        </row>
        <row r="3">
          <cell r="A3">
            <v>632</v>
          </cell>
          <cell r="B3" t="str">
            <v>SPOTV (HD)</v>
          </cell>
          <cell r="C3" t="str">
            <v>rtp://232.84.3.111:10666</v>
          </cell>
          <cell r="D3" t="str">
            <v>https://s129144.cdn.mytvnet.vn/vimages/60/0c/ce/e6/6b/b9/60ce6-pspotvhd-channel-unkn.png</v>
          </cell>
        </row>
        <row r="4">
          <cell r="A4">
            <v>633</v>
          </cell>
          <cell r="B4" t="str">
            <v>SPOTV2 (HD)</v>
          </cell>
          <cell r="C4" t="str">
            <v>rtp://232.84.3.129:10672</v>
          </cell>
          <cell r="D4" t="str">
            <v>https://s129144.cdn.mytvnet.vn/vimages/53/3d/db/b8/85/59/53db8-pspotv2hd-channel-unkn.png</v>
          </cell>
        </row>
        <row r="5">
          <cell r="A5">
            <v>200</v>
          </cell>
          <cell r="B5" t="str">
            <v>ON Sports (HD)</v>
          </cell>
          <cell r="C5" t="str">
            <v>rtp://232.84.1.207:9216</v>
          </cell>
          <cell r="D5" t="str">
            <v>https://s129144.cdn.mytvnet.vn/vimages/e9/9e/e5/54/40/01/e9e54-ponsportshd-channel-unkn.png</v>
          </cell>
        </row>
        <row r="6">
          <cell r="A6">
            <v>208</v>
          </cell>
          <cell r="B6" t="str">
            <v>ON Football (HD)</v>
          </cell>
          <cell r="C6" t="str">
            <v>rtp://232.84.1.210:9234</v>
          </cell>
          <cell r="D6" t="str">
            <v>https://s129144.cdn.mytvnet.vn/vimages/b7/78/8b/b7/7e/e5/b78b7-ponfootballhd-channel-unkn.png</v>
          </cell>
        </row>
        <row r="7">
          <cell r="A7">
            <v>35</v>
          </cell>
          <cell r="B7" t="str">
            <v>ANTV</v>
          </cell>
          <cell r="C7" t="str">
            <v>rtp://232.84.1.212:9246</v>
          </cell>
          <cell r="D7" t="str">
            <v>https://s129144.cdn.mytvnet.vn/vimages/ad/da/a5/5a/a6/69/ada5a-pantv-channel-unkn.png</v>
          </cell>
        </row>
        <row r="8">
          <cell r="A8">
            <v>227</v>
          </cell>
          <cell r="B8" t="str">
            <v>QPVN (HD)</v>
          </cell>
          <cell r="C8" t="str">
            <v>rtp://232.84.3.127:10816</v>
          </cell>
          <cell r="D8" t="str">
            <v>https://s129144.cdn.mytvnet.vn/vimages/ef/f6/64/46/6b/be/ef646-pqpvnhd-channel-unkn.png</v>
          </cell>
        </row>
        <row r="9">
          <cell r="A9">
            <v>115</v>
          </cell>
          <cell r="B9" t="str">
            <v>BTV6 - Shopping 24h</v>
          </cell>
          <cell r="C9" t="str">
            <v>rtp://232.84.2.197:10966</v>
          </cell>
          <cell r="D9" t="str">
            <v>https://s129144.cdn.mytvnet.vn/vimages/cf/f0/0b/b7/75/51/cf0b7-pbtv6shopping24h-channel-unkn.png</v>
          </cell>
        </row>
        <row r="10">
          <cell r="A10">
            <v>69</v>
          </cell>
          <cell r="B10" t="str">
            <v>Music Box (HD)</v>
          </cell>
          <cell r="C10" t="str">
            <v>rtp://232.84.1.13:8052</v>
          </cell>
          <cell r="D10" t="str">
            <v>https://s129144.cdn.mytvnet.vn/vimages/ab/bd/d3/3e/e6/64/abd3e-pmusicboxhd-channel-unkn.png</v>
          </cell>
        </row>
        <row r="11">
          <cell r="A11">
            <v>421</v>
          </cell>
          <cell r="B11" t="str">
            <v>Vĩnh Long 1 HD</v>
          </cell>
          <cell r="C11" t="str">
            <v>rtp://232.84.3.152:10882</v>
          </cell>
          <cell r="D11" t="str">
            <v>https://s129144.cdn.mytvnet.vn/vimages/64/47/7e/e1/12/2d/647e1-pvnhlong1hd-channel-unkn.png</v>
          </cell>
        </row>
        <row r="12">
          <cell r="A12">
            <v>423</v>
          </cell>
          <cell r="B12" t="str">
            <v>Vĩnh Long 2 HD</v>
          </cell>
          <cell r="C12" t="str">
            <v>rtp://232.84.3.164:10888</v>
          </cell>
          <cell r="D12" t="str">
            <v>https://s129144.cdn.mytvnet.vn/vimages/71/1b/bb/bd/d2/24/71bbd-pvnhlong2hd-channel-unkn.png</v>
          </cell>
        </row>
        <row r="13">
          <cell r="A13">
            <v>18</v>
          </cell>
          <cell r="B13" t="str">
            <v>HTV Thể thao</v>
          </cell>
          <cell r="C13" t="str">
            <v>rtp://232.84.3.88:11524</v>
          </cell>
          <cell r="D13" t="str">
            <v>https://s129144.cdn.mytvnet.vn/vimages/69/92/28/83/3b/b0/69283-phtvththao-channel-unkn.png</v>
          </cell>
        </row>
        <row r="14">
          <cell r="A14">
            <v>9</v>
          </cell>
          <cell r="B14" t="str">
            <v>HTV Key (HD)</v>
          </cell>
          <cell r="C14" t="str">
            <v>rtp://232.84.3.55:11722</v>
          </cell>
          <cell r="D14" t="str">
            <v>https://s129144.cdn.mytvnet.vn/vimages/2a/a0/00/07/7b/b1/2a007-phtvkeyhd-channel-unkn.png</v>
          </cell>
        </row>
        <row r="15">
          <cell r="A15">
            <v>358</v>
          </cell>
          <cell r="B15" t="str">
            <v>CNBC</v>
          </cell>
          <cell r="C15" t="str">
            <v>rtp://232.84.3.179:10488</v>
          </cell>
          <cell r="D15" t="str">
            <v>https://s129144.cdn.mytvnet.vn/vimages/58/81/1a/a0/03/36/581a0-pcnbc-channel-unkn.png</v>
          </cell>
        </row>
        <row r="16">
          <cell r="A16">
            <v>377</v>
          </cell>
          <cell r="B16" t="str">
            <v>VTV2 HD</v>
          </cell>
          <cell r="C16" t="str">
            <v>rtp://232.84.2.31:10594</v>
          </cell>
          <cell r="D16" t="str">
            <v>https://s129144.cdn.mytvnet.vn/vimages/17/7c/c2/2c/c5/50/17c2c-pvtv2hd-channel-unkn.png</v>
          </cell>
        </row>
        <row r="17">
          <cell r="A17">
            <v>211</v>
          </cell>
          <cell r="B17" t="str">
            <v>VTV3 HD</v>
          </cell>
          <cell r="C17" t="str">
            <v>rtp://232.84.1.118:10260</v>
          </cell>
          <cell r="D17" t="str">
            <v>https://s129144.cdn.mytvnet.vn/vimages/7a/a1/11/13/30/0c/7a113-pvtv3hd-channel-unkn.png</v>
          </cell>
        </row>
        <row r="18">
          <cell r="A18">
            <v>378</v>
          </cell>
          <cell r="B18" t="str">
            <v>VTV4 HD</v>
          </cell>
          <cell r="C18" t="str">
            <v>rtp://232.84.3.106:10600</v>
          </cell>
          <cell r="D18" t="str">
            <v>https://s129144.cdn.mytvnet.vn/vimages/8f/ff/f9/93/31/1c/8ff93-pvtv4hd-channel-unkn.png</v>
          </cell>
        </row>
        <row r="19">
          <cell r="A19">
            <v>379</v>
          </cell>
          <cell r="B19" t="str">
            <v>VTV5 HD</v>
          </cell>
          <cell r="C19" t="str">
            <v>rtp://232.84.2.33:10606</v>
          </cell>
          <cell r="D19" t="str">
            <v>https://s129144.cdn.mytvnet.vn/vimages/03/3c/c0/01/1e/e6/03c01-pvtv5hd-channel-unkn.png</v>
          </cell>
        </row>
        <row r="20">
          <cell r="A20">
            <v>615</v>
          </cell>
          <cell r="B20" t="str">
            <v>VTV5 Tây Nam Bộ (HD)</v>
          </cell>
          <cell r="C20" t="str">
            <v>rtp://232.84.3.86:11542</v>
          </cell>
          <cell r="D20" t="str">
            <v>https://s129144.cdn.mytvnet.vn/vimages/48/82/2d/d6/6d/d8/482d6-pvtv5tynambhd-channel-unkn.png</v>
          </cell>
        </row>
        <row r="21">
          <cell r="A21">
            <v>642</v>
          </cell>
          <cell r="B21" t="str">
            <v>VTV5 Tây Nguyên (HD)</v>
          </cell>
          <cell r="C21" t="str">
            <v>rtp://232.84.3.66:11656</v>
          </cell>
          <cell r="D21" t="str">
            <v>https://s129144.cdn.mytvnet.vn/vimages/d4/46/61/1c/cf/f6/d461c-pvtv5tynguynhd-channel-unkn.png</v>
          </cell>
        </row>
        <row r="22">
          <cell r="A22">
            <v>212</v>
          </cell>
          <cell r="B22" t="str">
            <v>VTV Cần Thơ</v>
          </cell>
          <cell r="C22" t="str">
            <v>rtp://232.84.1.119:10266</v>
          </cell>
          <cell r="D22" t="str">
            <v>https://s129144.cdn.mytvnet.vn/vimages/46/68/84/40/06/6a/46840-pvtvcnth-channel-unkn.png</v>
          </cell>
        </row>
        <row r="23">
          <cell r="A23">
            <v>459</v>
          </cell>
          <cell r="B23" t="str">
            <v>VTV7 HD</v>
          </cell>
          <cell r="C23" t="str">
            <v>rtp://232.84.2.202:10996</v>
          </cell>
          <cell r="D23" t="str">
            <v>https://s129144.cdn.mytvnet.vn/vimages/e5/53/33/33/33/3c/e5333-pvtv7hd-channel-unkn.png</v>
          </cell>
        </row>
        <row r="24">
          <cell r="A24">
            <v>380</v>
          </cell>
          <cell r="B24" t="str">
            <v>VTV8 HD</v>
          </cell>
          <cell r="C24" t="str">
            <v>rtp://232.84.3.104:10612</v>
          </cell>
          <cell r="D24" t="str">
            <v>https://s129144.cdn.mytvnet.vn/vimages/0f/f4/4d/d7/75/51/0f4d7-pvtv8hd-channel-unkn.png</v>
          </cell>
        </row>
        <row r="25">
          <cell r="A25">
            <v>787</v>
          </cell>
          <cell r="B25" t="str">
            <v>SCTV8</v>
          </cell>
          <cell r="C25" t="str">
            <v>rtp://232.84.3.28:11884</v>
          </cell>
          <cell r="D25" t="str">
            <v>https://s129144.cdn.mytvnet.vn/vimages/6a/a5/5b/bc/c3/3e/6a5bc-psctv8vitv-channel-unkn.png</v>
          </cell>
        </row>
        <row r="26">
          <cell r="A26">
            <v>381</v>
          </cell>
          <cell r="B26" t="str">
            <v>VTV9 HD</v>
          </cell>
          <cell r="C26" t="str">
            <v>rtp://232.84.2.35:10618</v>
          </cell>
          <cell r="D26" t="str">
            <v>https://s129144.cdn.mytvnet.vn/vimages/d3/35/5e/e2/26/62/d35e2-pvtv9hd-channel-unkn.png</v>
          </cell>
        </row>
        <row r="27">
          <cell r="A27">
            <v>772</v>
          </cell>
          <cell r="B27" t="str">
            <v>SCTV2</v>
          </cell>
          <cell r="C27" t="str">
            <v>rtp://232.84.3.33:11854</v>
          </cell>
          <cell r="D27" t="str">
            <v>https://s129144.cdn.mytvnet.vn/vimages/28/84/49/9f/f6/68/2849f-psctv2amc-channel-unkn.png</v>
          </cell>
        </row>
        <row r="28">
          <cell r="A28">
            <v>775</v>
          </cell>
          <cell r="B28" t="str">
            <v>SCTV3</v>
          </cell>
          <cell r="C28" t="str">
            <v>rtp://232.84.3.32:11860</v>
          </cell>
          <cell r="D28" t="str">
            <v>https://s129144.cdn.mytvnet.vn/vimages/28/86/68/8c/c8/8d/2868c-psctv3seetv-channel-unkn.png</v>
          </cell>
        </row>
        <row r="29">
          <cell r="A29">
            <v>790</v>
          </cell>
          <cell r="B29" t="str">
            <v>SCTV9</v>
          </cell>
          <cell r="C29" t="str">
            <v>rtp://232.84.3.27:11890</v>
          </cell>
          <cell r="D29" t="str">
            <v>https://s129144.cdn.mytvnet.vn/vimages/b1/16/63/3d/d1/14/b163d-psctv9phimchu-channel-unkn.png</v>
          </cell>
        </row>
        <row r="30">
          <cell r="A30">
            <v>778</v>
          </cell>
          <cell r="B30" t="str">
            <v>SCTV4</v>
          </cell>
          <cell r="C30" t="str">
            <v>rtp://232.84.3.31:11866</v>
          </cell>
          <cell r="D30" t="str">
            <v>https://s129144.cdn.mytvnet.vn/vimages/d5/53/34/4b/b2/2a/d534b-psctv4tnghplestviet-channel-unkn.png</v>
          </cell>
        </row>
        <row r="31">
          <cell r="A31">
            <v>7</v>
          </cell>
          <cell r="B31" t="str">
            <v>HTV1 HD</v>
          </cell>
          <cell r="C31" t="str">
            <v>rtp://232.84.3.57:11710</v>
          </cell>
          <cell r="D31" t="str">
            <v>https://s129144.cdn.mytvnet.vn/vimages/8c/ce/ee/e7/79/98/8cee7-phtv1hd-channel-unkn.png</v>
          </cell>
        </row>
        <row r="32">
          <cell r="A32">
            <v>425</v>
          </cell>
          <cell r="B32" t="str">
            <v>Vĩnh Long 3 HD</v>
          </cell>
          <cell r="C32" t="str">
            <v>rtp://232.84.3.165:10900</v>
          </cell>
          <cell r="D32" t="str">
            <v>https://s129144.cdn.mytvnet.vn/vimages/8d/d7/7b/b4/40/02/8d7b4-pvnhlong3hd-channel-unkn.png</v>
          </cell>
        </row>
        <row r="33">
          <cell r="A33">
            <v>769</v>
          </cell>
          <cell r="B33" t="str">
            <v>SCTV1</v>
          </cell>
          <cell r="C33" t="str">
            <v>rtp://232.84.3.34:11848</v>
          </cell>
          <cell r="D33" t="str">
            <v>https://s129144.cdn.mytvnet.vn/vimages/52/20/05/5a/aa/ad/5205a-psctv1knhhi-channel-unkn.png</v>
          </cell>
        </row>
        <row r="34">
          <cell r="A34">
            <v>766</v>
          </cell>
          <cell r="B34" t="str">
            <v>SCTV - Phim Tổng hợp</v>
          </cell>
          <cell r="C34" t="str">
            <v>rtp://232.84.3.14:11968</v>
          </cell>
          <cell r="D34" t="str">
            <v>https://s129144.cdn.mytvnet.vn/vimages/09/91/13/30/0b/b8/09130-psctvphimtnghp-channel-unkn.png</v>
          </cell>
        </row>
        <row r="35">
          <cell r="A35">
            <v>781</v>
          </cell>
          <cell r="B35" t="str">
            <v>SCTV6</v>
          </cell>
          <cell r="C35" t="str">
            <v>rtp://232.84.3.30:11872</v>
          </cell>
          <cell r="D35" t="str">
            <v>https://s129144.cdn.mytvnet.vn/vimages/32/27/7b/b4/41/12/327b4-psctv6sngnhc-channel-unkn.png</v>
          </cell>
        </row>
        <row r="36">
          <cell r="A36">
            <v>784</v>
          </cell>
          <cell r="B36" t="str">
            <v>SCTV7</v>
          </cell>
          <cell r="C36" t="str">
            <v>rtp://232.84.3.29:11878</v>
          </cell>
          <cell r="D36" t="str">
            <v>https://s129144.cdn.mytvnet.vn/vimages/0b/b7/70/0a/a8/85/0b70a-psctv7snkhuvnnghtnghp-channel-unkn.png</v>
          </cell>
        </row>
        <row r="37">
          <cell r="A37">
            <v>793</v>
          </cell>
          <cell r="B37" t="str">
            <v>SCTV11</v>
          </cell>
          <cell r="C37" t="str">
            <v>rtp://232.84.3.26:11896</v>
          </cell>
          <cell r="D37" t="str">
            <v>https://s129144.cdn.mytvnet.vn/vimages/34/4e/ec/c9/9f/f2/34ec9-psctv11tvstar-channel-unkn.png</v>
          </cell>
        </row>
        <row r="38">
          <cell r="A38">
            <v>796</v>
          </cell>
          <cell r="B38" t="str">
            <v>SCTV12</v>
          </cell>
          <cell r="C38" t="str">
            <v>rtp://232.84.3.25:11902</v>
          </cell>
          <cell r="D38" t="str">
            <v>https://s129144.cdn.mytvnet.vn/vimages/93/38/8d/da/a2/2c/938da-psctv12dulch-channel-unkn.png</v>
          </cell>
        </row>
        <row r="39">
          <cell r="A39">
            <v>799</v>
          </cell>
          <cell r="B39" t="str">
            <v>SCTV13</v>
          </cell>
          <cell r="C39" t="str">
            <v>rtp://232.84.3.24:11908</v>
          </cell>
          <cell r="D39" t="str">
            <v>https://s129144.cdn.mytvnet.vn/vimages/e3/32/20/0b/bc/c3/e320b-psctv13ladytv-channel-unkn.png</v>
          </cell>
        </row>
        <row r="40">
          <cell r="A40">
            <v>808</v>
          </cell>
          <cell r="B40" t="str">
            <v>SCTV18</v>
          </cell>
          <cell r="C40" t="str">
            <v>rtp://232.84.3.19:11938</v>
          </cell>
          <cell r="D40" t="str">
            <v>https://s129144.cdn.mytvnet.vn/vimages/73/39/96/6a/a3/36/7396a-psctv18phim-channel-unkn.png</v>
          </cell>
        </row>
        <row r="41">
          <cell r="A41">
            <v>811</v>
          </cell>
          <cell r="B41" t="str">
            <v>SCTV19</v>
          </cell>
          <cell r="C41" t="str">
            <v>rtp://232.84.3.18:11944</v>
          </cell>
          <cell r="D41" t="str">
            <v>https://s129144.cdn.mytvnet.vn/vimages/05/50/07/74/46/61/05074-psctv19channelt-channel-unkn.png</v>
          </cell>
        </row>
        <row r="42">
          <cell r="A42">
            <v>814</v>
          </cell>
          <cell r="B42" t="str">
            <v>SCTV20</v>
          </cell>
          <cell r="C42" t="str">
            <v>rtp://232.84.3.17:11950</v>
          </cell>
          <cell r="D42" t="str">
            <v>https://s129144.cdn.mytvnet.vn/vimages/36/6e/e9/97/79/91/36e97-psctv20itv-channel-unkn.png</v>
          </cell>
        </row>
        <row r="43">
          <cell r="A43">
            <v>817</v>
          </cell>
          <cell r="B43" t="str">
            <v>SCTV21</v>
          </cell>
          <cell r="C43" t="str">
            <v>rtp://232.84.3.16:11956</v>
          </cell>
          <cell r="D43" t="str">
            <v>https://s129144.cdn.mytvnet.vn/vimages/8d/de/ee/e3/3e/e7/8dee3-psctv21-channel-unkn.png</v>
          </cell>
        </row>
        <row r="44">
          <cell r="A44">
            <v>185</v>
          </cell>
          <cell r="B44" t="str">
            <v>NHK World Japan HD</v>
          </cell>
          <cell r="C44" t="str">
            <v>rtp://232.84.1.72:8406</v>
          </cell>
          <cell r="D44" t="str">
            <v>https://s129144.cdn.mytvnet.vn/vimages/6a/a4/46/6f/f0/0f/6a46f-pnhkworldjapanhd-channel-unkn.png</v>
          </cell>
        </row>
        <row r="45">
          <cell r="A45">
            <v>105</v>
          </cell>
          <cell r="B45" t="str">
            <v>Box Hits (HD)</v>
          </cell>
          <cell r="C45" t="str">
            <v>rtp://232.84.1.77:8436</v>
          </cell>
          <cell r="D45" t="str">
            <v>https://s129144.cdn.mytvnet.vn/vimages/e6/6b/b5/56/68/84/e6b56-pboxhitshd-channel-unkn.png</v>
          </cell>
        </row>
        <row r="46">
          <cell r="A46">
            <v>823</v>
          </cell>
          <cell r="B46" t="str">
            <v>SCTV15 - SSportT2</v>
          </cell>
          <cell r="C46" t="str">
            <v>rtp://232.84.3.22:11920</v>
          </cell>
          <cell r="D46" t="str">
            <v>https://s129144.cdn.mytvnet.vn/vimages/c5/52/26/64/4d/d2/c5264-psctv15ssportt2-channel-unkn.png</v>
          </cell>
        </row>
        <row r="47">
          <cell r="A47">
            <v>826</v>
          </cell>
          <cell r="B47" t="str">
            <v>SCTV17 - Ssport</v>
          </cell>
          <cell r="C47" t="str">
            <v>rtp://232.84.3.20:11932</v>
          </cell>
          <cell r="D47" t="str">
            <v>https://s129144.cdn.mytvnet.vn/vimages/db/bd/dd/dd/dc/cc/dbddd-psctv17ssport-channel-unkn.png</v>
          </cell>
        </row>
        <row r="48">
          <cell r="A48">
            <v>829</v>
          </cell>
          <cell r="B48" t="str">
            <v>SCTV 22 - SSportT1</v>
          </cell>
          <cell r="C48" t="str">
            <v>rtp://232.84.3.15:11962</v>
          </cell>
          <cell r="D48" t="str">
            <v>https://s129144.cdn.mytvnet.vn/vimages/ee/eb/bb/bb/bf/f5/eebbb-psctv22ssportt1-channel-unkn.png</v>
          </cell>
        </row>
        <row r="49">
          <cell r="A49">
            <v>429</v>
          </cell>
          <cell r="B49" t="str">
            <v>Vĩnh Long 4 HD</v>
          </cell>
          <cell r="C49" t="str">
            <v>rtp://232.84.3.160:10912</v>
          </cell>
          <cell r="D49" t="str">
            <v>https://s129144.cdn.mytvnet.vn/vimages/f6/6b/b2/29/99/9c/f6b29-pvnhlong4hd-channel-unkn.png</v>
          </cell>
        </row>
        <row r="50">
          <cell r="A50">
            <v>14</v>
          </cell>
          <cell r="B50" t="str">
            <v>HTVC Gia Đình (HD)</v>
          </cell>
          <cell r="C50" t="str">
            <v>rtp://232.84.3.52:11740</v>
          </cell>
          <cell r="D50" t="str">
            <v>https://s129144.cdn.mytvnet.vn/vimages/ba/a1/1c/c4/4a/a9/ba1c4-phtvcgianhhd-channel-unkn.png</v>
          </cell>
        </row>
        <row r="51">
          <cell r="A51">
            <v>83</v>
          </cell>
          <cell r="B51" t="str">
            <v>TV5 MONDE</v>
          </cell>
          <cell r="C51" t="str">
            <v>rtp://232.84.1.45:8250</v>
          </cell>
          <cell r="D51" t="str">
            <v>https://s129144.cdn.mytvnet.vn/vimages/79/92/2a/a7/76/64/792a7-ptv5monde-channel-unkn.png</v>
          </cell>
        </row>
        <row r="52">
          <cell r="A52">
            <v>300</v>
          </cell>
          <cell r="B52" t="str">
            <v>HTV Thuần Việt HD</v>
          </cell>
          <cell r="C52" t="str">
            <v>rtp://232.84.2.134:9600</v>
          </cell>
          <cell r="D52" t="str">
            <v>https://s129144.cdn.mytvnet.vn/vimages/8b/b4/4f/fa/aa/a0/8b4fa-phtvthunvithd-channel-unkn.png</v>
          </cell>
        </row>
        <row r="53">
          <cell r="A53">
            <v>302</v>
          </cell>
          <cell r="B53" t="str">
            <v>HTVC Phim HD</v>
          </cell>
          <cell r="C53" t="str">
            <v>rtp://232.84.3.118:9594</v>
          </cell>
          <cell r="D53" t="str">
            <v>https://s129144.cdn.mytvnet.vn/vimages/0f/f5/59/92/2f/f6/0f592-phtvcphimhd-channel-unkn.png</v>
          </cell>
        </row>
        <row r="54">
          <cell r="A54">
            <v>194</v>
          </cell>
          <cell r="B54" t="str">
            <v>K+ CINE</v>
          </cell>
          <cell r="C54" t="str">
            <v>rtp://232.84.1.96:8550</v>
          </cell>
          <cell r="D54" t="str">
            <v>https://s129144.cdn.mytvnet.vn/vimages/ac/cd/dc/ce/e2/2d/acdce-pkcine-channel-unkn.png</v>
          </cell>
        </row>
        <row r="55">
          <cell r="A55">
            <v>110</v>
          </cell>
          <cell r="B55" t="str">
            <v>HTV3 HD</v>
          </cell>
          <cell r="C55" t="str">
            <v>rtp://232.84.3.56:11716</v>
          </cell>
          <cell r="D55" t="str">
            <v>https://s129144.cdn.mytvnet.vn/vimages/b4/4c/c3/36/68/86/b4c36-phtv3hd-channel-unkn.png</v>
          </cell>
        </row>
        <row r="56">
          <cell r="A56">
            <v>195</v>
          </cell>
          <cell r="B56" t="str">
            <v>K+ ACTION</v>
          </cell>
          <cell r="C56" t="str">
            <v>rtp://232.84.1.97:8556</v>
          </cell>
          <cell r="D56" t="str">
            <v>https://s129144.cdn.mytvnet.vn/vimages/eb/b5/53/39/94/4e/eb539-pkaction-channel-unkn.png</v>
          </cell>
        </row>
        <row r="57">
          <cell r="A57">
            <v>196</v>
          </cell>
          <cell r="B57" t="str">
            <v>K+ SPORT1</v>
          </cell>
          <cell r="C57" t="str">
            <v>rtp://232.84.1.98:8562</v>
          </cell>
          <cell r="D57" t="str">
            <v>https://s129144.cdn.mytvnet.vn/vimages/cc/cb/b9/9d/da/a4/ccb9d-pksport1-channel-unkn.png</v>
          </cell>
        </row>
        <row r="58">
          <cell r="A58">
            <v>27</v>
          </cell>
          <cell r="B58" t="str">
            <v>ON O2TV HD</v>
          </cell>
          <cell r="C58" t="str">
            <v>rtp://232.84.3.74:11608</v>
          </cell>
          <cell r="D58" t="str">
            <v>https://s129144.cdn.mytvnet.vn/vimages/85/52/20/05/5f/fc/85205-pono2tvhd-channel-unkn.png</v>
          </cell>
        </row>
        <row r="59">
          <cell r="A59">
            <v>127</v>
          </cell>
          <cell r="B59" t="str">
            <v>HTV2 HD</v>
          </cell>
          <cell r="C59" t="str">
            <v>rtp://232.84.2.182:9306</v>
          </cell>
          <cell r="D59" t="str">
            <v>https://s129144.cdn.mytvnet.vn/vimages/a0/07/73/39/9e/e6/a0739-phtv2hd-channel-unkn.png</v>
          </cell>
        </row>
        <row r="60">
          <cell r="A60">
            <v>128</v>
          </cell>
          <cell r="B60" t="str">
            <v>HTV7 HD</v>
          </cell>
          <cell r="C60" t="str">
            <v>rtp://232.84.1.223:9312</v>
          </cell>
          <cell r="D60" t="str">
            <v>https://s129144.cdn.mytvnet.vn/vimages/65/5a/a5/51/11/13/65a51-phtv7hd-channel-unkn.png</v>
          </cell>
        </row>
        <row r="61">
          <cell r="A61">
            <v>190</v>
          </cell>
          <cell r="B61" t="str">
            <v>HTV9 HD</v>
          </cell>
          <cell r="C61" t="str">
            <v>rtp://232.84.1.224:9318</v>
          </cell>
          <cell r="D61" t="str">
            <v>https://s129144.cdn.mytvnet.vn/vimages/64/4e/ee/ef/fa/a7/64eef-phtv9hd-channel-unkn.png</v>
          </cell>
        </row>
        <row r="62">
          <cell r="A62">
            <v>197</v>
          </cell>
          <cell r="B62" t="str">
            <v>ON Vie Giải trí</v>
          </cell>
          <cell r="C62" t="str">
            <v>rtp://232.84.3.78:11584</v>
          </cell>
          <cell r="D62" t="str">
            <v>https://s129144.cdn.mytvnet.vn/vimages/0c/c1/12/24/4c/cd/0c124-ponviegiitr-channel-unkn.png</v>
          </cell>
        </row>
        <row r="63">
          <cell r="A63">
            <v>198</v>
          </cell>
          <cell r="B63" t="str">
            <v>ON Phim Việt HD</v>
          </cell>
          <cell r="C63" t="str">
            <v>rtp://232.84.3.77:11590</v>
          </cell>
          <cell r="D63" t="str">
            <v>https://s129144.cdn.mytvnet.vn/vimages/3d/d2/24/49/9e/ed/3d249-ponphimvithd-channel-unkn.png</v>
          </cell>
        </row>
        <row r="64">
          <cell r="A64">
            <v>201</v>
          </cell>
          <cell r="B64" t="str">
            <v>ON Vie Dramas</v>
          </cell>
          <cell r="C64" t="str">
            <v>rtp://232.84.3.218:11230</v>
          </cell>
          <cell r="D64" t="str">
            <v>https://s129144.cdn.mytvnet.vn/vimages/00/09/98/87/7c/c3/00987-ponviedramas-channel-unkn.png</v>
          </cell>
        </row>
        <row r="65">
          <cell r="A65">
            <v>202</v>
          </cell>
          <cell r="B65" t="str">
            <v>ON E Channel</v>
          </cell>
          <cell r="C65" t="str">
            <v>rtp://232.84.3.76:11596</v>
          </cell>
          <cell r="D65" t="str">
            <v>https://s129144.cdn.mytvnet.vn/vimages/7a/a9/95/5d/d5/5a/7a95d-ponechannel-channel-unkn.png</v>
          </cell>
        </row>
        <row r="66">
          <cell r="A66">
            <v>203</v>
          </cell>
          <cell r="B66" t="str">
            <v>On Sports+ HD</v>
          </cell>
          <cell r="C66" t="str">
            <v>rtp://232.84.3.75:11602</v>
          </cell>
          <cell r="D66" t="str">
            <v>https://s129144.cdn.mytvnet.vn/vimages/f6/68/85/5b/b0/02/f685b-ponsportshd-channel-unkn.png</v>
          </cell>
        </row>
        <row r="67">
          <cell r="A67">
            <v>205</v>
          </cell>
          <cell r="B67" t="str">
            <v>ON Bibi HD</v>
          </cell>
          <cell r="C67" t="str">
            <v>rtp://232.84.3.217:11224</v>
          </cell>
          <cell r="D67" t="str">
            <v>https://s129144.cdn.mytvnet.vn/vimages/b4/43/30/0a/ac/cb/b430a-ponbibihd-channel-unkn.png</v>
          </cell>
        </row>
        <row r="68">
          <cell r="A68">
            <v>206</v>
          </cell>
          <cell r="B68" t="str">
            <v>ON Style TV HD</v>
          </cell>
          <cell r="C68" t="str">
            <v>rtp://232.84.3.71:11626</v>
          </cell>
          <cell r="D68" t="str">
            <v>https://s129144.cdn.mytvnet.vn/vimages/6d/df/f4/4e/ee/e9/6df4e-ponstyletvhd-channel-unkn.png</v>
          </cell>
        </row>
        <row r="69">
          <cell r="A69">
            <v>209</v>
          </cell>
          <cell r="B69" t="str">
            <v>ON Trending HD</v>
          </cell>
          <cell r="C69" t="str">
            <v>rtp://232.84.3.69:11638</v>
          </cell>
          <cell r="D69" t="str">
            <v>https://s129144.cdn.mytvnet.vn/vimages/05/5e/eb/b9/95/55/05eb9-pontrendinghd-channel-unkn.png</v>
          </cell>
        </row>
        <row r="70">
          <cell r="A70">
            <v>204</v>
          </cell>
          <cell r="B70" t="str">
            <v>ON Cine HD</v>
          </cell>
          <cell r="C70" t="str">
            <v>rtp://232.84.3.72:11620</v>
          </cell>
          <cell r="D70" t="str">
            <v>https://s129144.cdn.mytvnet.vn/vimages/d5/5f/f5/53/33/33/d5f53-poncinehd-channel-unkn.png</v>
          </cell>
        </row>
        <row r="71">
          <cell r="A71">
            <v>12</v>
          </cell>
          <cell r="B71" t="str">
            <v>HTVC Ca Nhạc (HD)</v>
          </cell>
          <cell r="C71" t="str">
            <v>rtp://232.84.3.54:11728</v>
          </cell>
          <cell r="D71" t="str">
            <v>https://s129144.cdn.mytvnet.vn/vimages/b8/8b/bd/da/ae/eb/b8bda-phtvccanhchd-channel-unkn.png</v>
          </cell>
        </row>
        <row r="72">
          <cell r="A72">
            <v>191</v>
          </cell>
          <cell r="B72" t="str">
            <v>Outdoor HD</v>
          </cell>
          <cell r="C72" t="str">
            <v>rtp://232.84.1.107:10218</v>
          </cell>
          <cell r="D72" t="str">
            <v>https://s129144.cdn.mytvnet.vn/vimages/58/84/45/5f/f8/8c/5845f-poutdoorhd-channel-unkn.png</v>
          </cell>
        </row>
        <row r="73">
          <cell r="A73">
            <v>141</v>
          </cell>
          <cell r="B73" t="str">
            <v>Cao Bằng TV</v>
          </cell>
          <cell r="C73" t="str">
            <v>rtp://232.84.3.202:11134</v>
          </cell>
          <cell r="D73" t="str">
            <v>https://s129144.cdn.mytvnet.vn/vimages/a0/0d/d4/4e/e8/8d/a0d4e-pcaobngtv-channel-unkn.png</v>
          </cell>
        </row>
        <row r="74">
          <cell r="A74">
            <v>193</v>
          </cell>
          <cell r="B74" t="str">
            <v>Lạng Sơn TV HD</v>
          </cell>
          <cell r="C74" t="str">
            <v>rtp://232.84.3.203:11140</v>
          </cell>
          <cell r="D74" t="str">
            <v>https://s129144.cdn.mytvnet.vn/vimages/0a/ab/b3/38/88/8d/0ab38-plngsntvhd-channel-unkn.png</v>
          </cell>
        </row>
        <row r="75">
          <cell r="A75">
            <v>228</v>
          </cell>
          <cell r="B75" t="str">
            <v>K+ CINE (HD)</v>
          </cell>
          <cell r="C75" t="str">
            <v>rtp://232.84.1.38:8202</v>
          </cell>
          <cell r="D75" t="str">
            <v>https://s129144.cdn.mytvnet.vn/vimages/45/57/73/36/6a/a5/45736-pkcinehd-channel-unkn.png</v>
          </cell>
        </row>
        <row r="76">
          <cell r="A76">
            <v>230</v>
          </cell>
          <cell r="B76" t="str">
            <v>K+ ACTION (HD)</v>
          </cell>
          <cell r="C76" t="str">
            <v>rtp://232.84.1.33:8172</v>
          </cell>
          <cell r="D76" t="str">
            <v>https://s129144.cdn.mytvnet.vn/vimages/8c/cd/d6/67/73/3d/8cd67-pkactionhd-channel-unkn.png</v>
          </cell>
        </row>
        <row r="77">
          <cell r="A77">
            <v>229</v>
          </cell>
          <cell r="B77" t="str">
            <v>K+ SPORT1 (HD)</v>
          </cell>
          <cell r="C77" t="str">
            <v>rtp://232.84.1.37:8196</v>
          </cell>
          <cell r="D77" t="str">
            <v>https://s129144.cdn.mytvnet.vn/vimages/f0/00/01/17/7e/e7/f0017-pksport1hd-channel-unkn.png</v>
          </cell>
        </row>
        <row r="78">
          <cell r="A78">
            <v>241</v>
          </cell>
          <cell r="B78" t="str">
            <v>ON Vfamily HD</v>
          </cell>
          <cell r="C78" t="str">
            <v>rtp://232.84.3.68:11644</v>
          </cell>
          <cell r="D78" t="str">
            <v>https://s129144.cdn.mytvnet.vn/vimages/27/7a/a7/71/1f/f0/27a71-ponvfamilyhd-channel-unkn.png</v>
          </cell>
        </row>
        <row r="79">
          <cell r="A79">
            <v>313</v>
          </cell>
          <cell r="B79" t="str">
            <v>DW-HD</v>
          </cell>
          <cell r="C79" t="str">
            <v>rtp://232.84.3.154:10416</v>
          </cell>
          <cell r="D79" t="str">
            <v>https://s129144.cdn.mytvnet.vn/vimages/38/85/5a/aa/a1/1b/385aa-pdwhd-channel-unkn.png</v>
          </cell>
        </row>
        <row r="80">
          <cell r="A80">
            <v>308</v>
          </cell>
          <cell r="B80" t="str">
            <v>France24</v>
          </cell>
          <cell r="C80" t="str">
            <v>rtp://232.84.3.145:9606</v>
          </cell>
          <cell r="D80" t="str">
            <v>https://s129144.cdn.mytvnet.vn/vimages/b2/26/6b/bc/c6/6d/b26bc-pfrance24-channel-unkn.png</v>
          </cell>
        </row>
        <row r="81">
          <cell r="A81">
            <v>306</v>
          </cell>
          <cell r="B81" t="str">
            <v>KBS World</v>
          </cell>
          <cell r="C81" t="str">
            <v>rtp://232.84.2.136:9612</v>
          </cell>
          <cell r="D81" t="str">
            <v>https://s129144.cdn.mytvnet.vn/vimages/82/2f/fb/b6/6d/d7/82fb6-pkbsworld-channel-unkn.png</v>
          </cell>
        </row>
        <row r="82">
          <cell r="A82">
            <v>249</v>
          </cell>
          <cell r="B82" t="str">
            <v>K+ SPORT2</v>
          </cell>
          <cell r="C82" t="str">
            <v>rtp://232.84.1.131:10368</v>
          </cell>
          <cell r="D82" t="str">
            <v>https://s129144.cdn.mytvnet.vn/vimages/78/87/7e/ec/cc/c0/787ec-pksport2-channel-unkn.png</v>
          </cell>
        </row>
        <row r="83">
          <cell r="A83">
            <v>247</v>
          </cell>
          <cell r="B83" t="str">
            <v>K+ SPORT2 (HD)</v>
          </cell>
          <cell r="C83" t="str">
            <v>rtp://232.84.1.34:8178</v>
          </cell>
          <cell r="D83" t="str">
            <v>https://s129144.cdn.mytvnet.vn/vimages/de/ee/ea/a2/2b/b7/deea2-pksport2hd-channel-unkn.png</v>
          </cell>
        </row>
        <row r="84">
          <cell r="A84">
            <v>13</v>
          </cell>
          <cell r="B84" t="str">
            <v>HTVC Du Lịch Cuộc Sống (HD)</v>
          </cell>
          <cell r="C84" t="str">
            <v>rtp://232.84.3.53:11734</v>
          </cell>
          <cell r="D84" t="str">
            <v>https://s129144.cdn.mytvnet.vn/vimages/8d/d4/4a/a5/5f/fb/8d4a5-phtvcdulchcucsnghd-channel-unkn.png</v>
          </cell>
        </row>
        <row r="85">
          <cell r="A85">
            <v>366</v>
          </cell>
          <cell r="B85" t="str">
            <v>Channel News Asia HD</v>
          </cell>
          <cell r="C85" t="str">
            <v>rtp://232.84.3.155:10540</v>
          </cell>
          <cell r="D85" t="str">
            <v>https://s129144.cdn.mytvnet.vn/vimages/69/91/15/50/06/60/69150-pchannelnewsasiahd-channel-unkn.png</v>
          </cell>
        </row>
        <row r="86">
          <cell r="A86">
            <v>294</v>
          </cell>
          <cell r="B86" t="str">
            <v>DaVinci HD</v>
          </cell>
          <cell r="C86" t="str">
            <v>rtp://232.84.2.131:9582</v>
          </cell>
          <cell r="D86" t="str">
            <v>https://s129144.cdn.mytvnet.vn/vimages/b0/0b/b6/6e/e8/86/b0b6e-pdavincihd-channel-unkn.png</v>
          </cell>
        </row>
        <row r="87">
          <cell r="A87">
            <v>298</v>
          </cell>
          <cell r="B87" t="str">
            <v>Asian Food Network (HD)</v>
          </cell>
          <cell r="C87" t="str">
            <v>rtp://232.84.2.129:9570</v>
          </cell>
          <cell r="D87" t="str">
            <v>https://s129144.cdn.mytvnet.vn/vimages/33/33/32/20/08/8d/33320-pasianfoodnetworkhd-channel-unkn.png</v>
          </cell>
        </row>
        <row r="88">
          <cell r="A88">
            <v>523</v>
          </cell>
          <cell r="B88" t="str">
            <v>CINEMAWORLD HD</v>
          </cell>
          <cell r="C88" t="str">
            <v>rtp://232.84.3.50:11752</v>
          </cell>
          <cell r="D88" t="str">
            <v>https://s129144.cdn.mytvnet.vn/vimages/cd/de/e3/3a/a3/33/cde3a-pcinemaworldhd-channel-unkn.png</v>
          </cell>
        </row>
        <row r="89">
          <cell r="A89">
            <v>407</v>
          </cell>
          <cell r="B89" t="str">
            <v>Hải Phòng TV HD</v>
          </cell>
          <cell r="C89" t="str">
            <v>rtp://232.84.3.142:10780</v>
          </cell>
          <cell r="D89" t="str">
            <v>https://s129144.cdn.mytvnet.vn/vimages/a9/9c/c3/35/56/6c/a9c35-phiphngtvhd-channel-unkn.png</v>
          </cell>
        </row>
        <row r="90">
          <cell r="A90">
            <v>616</v>
          </cell>
          <cell r="B90" t="str">
            <v>THP+</v>
          </cell>
          <cell r="C90" t="str">
            <v>rtp://232.84.3.83:11554</v>
          </cell>
          <cell r="D90" t="str">
            <v>https://s129144.cdn.mytvnet.vn/vimages/b4/47/7b/b1/1e/e8/b47b1-pthp-channel-unkn.png</v>
          </cell>
        </row>
        <row r="91">
          <cell r="A91">
            <v>93</v>
          </cell>
          <cell r="B91" t="str">
            <v>Hải Phòng 3</v>
          </cell>
          <cell r="C91" t="str">
            <v>rtp://232.84.3.44:11788</v>
          </cell>
          <cell r="D91" t="str">
            <v>https://s129144.cdn.mytvnet.vn/vimages/aa/a1/13/32/28/86/aa132-phiphng3-channel-unkn.png</v>
          </cell>
        </row>
        <row r="92">
          <cell r="A92">
            <v>384</v>
          </cell>
          <cell r="B92" t="str">
            <v>HTVC Plus HD</v>
          </cell>
          <cell r="C92" t="str">
            <v>rtp://232.84.3.245:11392</v>
          </cell>
          <cell r="D92" t="str">
            <v>https://s129144.cdn.mytvnet.vn/vimages/f0/0a/a3/31/1f/f3/f0a31-phtvcplushd-channel-unkn.png</v>
          </cell>
        </row>
        <row r="93">
          <cell r="A93">
            <v>63</v>
          </cell>
          <cell r="B93" t="str">
            <v>Arirang</v>
          </cell>
          <cell r="C93" t="str">
            <v>rtp://232.84.1.43:8238</v>
          </cell>
          <cell r="D93" t="str">
            <v>https://s129144.cdn.mytvnet.vn/vimages/48/8c/cf/f9/9e/e6/48cf9-parirang-channel-unkn.png</v>
          </cell>
        </row>
        <row r="94">
          <cell r="A94">
            <v>122</v>
          </cell>
          <cell r="B94" t="str">
            <v>Thái Bình TV</v>
          </cell>
          <cell r="C94" t="str">
            <v>rtp://232.84.2.100:9090</v>
          </cell>
          <cell r="D94" t="str">
            <v>https://s129144.cdn.mytvnet.vn/vimages/88/80/01/11/1f/f8/88011-pthibnhtv-channel-unkn.png</v>
          </cell>
        </row>
        <row r="95">
          <cell r="A95">
            <v>149</v>
          </cell>
          <cell r="B95" t="str">
            <v>Nam Định TV</v>
          </cell>
          <cell r="C95" t="str">
            <v>rtp://232.84.3.119:9006</v>
          </cell>
          <cell r="D95" t="str">
            <v>https://s129144.cdn.mytvnet.vn/vimages/75/58/8c/c5/50/0e/758c5-pnamnhtv-channel-unkn.png</v>
          </cell>
        </row>
        <row r="96">
          <cell r="A96">
            <v>400</v>
          </cell>
          <cell r="B96" t="str">
            <v>Hà Nội 1  HD</v>
          </cell>
          <cell r="C96" t="str">
            <v>rtp://232.84.3.143:10738</v>
          </cell>
          <cell r="D96" t="str">
            <v>https://s129144.cdn.mytvnet.vn/vimages/4a/ab/b7/75/55/55/4ab75-phni1hd-channel-unkn.png</v>
          </cell>
        </row>
        <row r="97">
          <cell r="A97">
            <v>401</v>
          </cell>
          <cell r="B97" t="str">
            <v>Hà Nội 2 HD</v>
          </cell>
          <cell r="C97" t="str">
            <v>rtp://232.84.3.137:10744</v>
          </cell>
          <cell r="D97" t="str">
            <v>https://s129144.cdn.mytvnet.vn/vimages/f0/0f/f2/28/88/83/f0f28-phni2hd-channel-unkn.png</v>
          </cell>
        </row>
        <row r="98">
          <cell r="A98">
            <v>410</v>
          </cell>
          <cell r="B98" t="str">
            <v>Phú Thọ TV (HD)</v>
          </cell>
          <cell r="C98" t="str">
            <v>rtp://232.84.3.148:10792</v>
          </cell>
          <cell r="D98" t="str">
            <v>https://s129144.cdn.mytvnet.vn/vimages/3d/d4/46/6a/a3/32/3d46a-pphthtvhd-channel-unkn.png</v>
          </cell>
        </row>
        <row r="99">
          <cell r="A99">
            <v>435</v>
          </cell>
          <cell r="B99" t="str">
            <v>ON MOVIES (HD)</v>
          </cell>
          <cell r="C99" t="str">
            <v>rtp://232.84.2.190:10924</v>
          </cell>
          <cell r="D99" t="str">
            <v>https://s129144.cdn.mytvnet.vn/vimages/e5/5e/ed/df/f8/8e/e5edf-ponmovieshd-channel-unkn.png</v>
          </cell>
        </row>
        <row r="100">
          <cell r="A100">
            <v>437</v>
          </cell>
          <cell r="B100" t="str">
            <v>ON InfoTV HD</v>
          </cell>
          <cell r="C100" t="str">
            <v>rtp://232.84.3.73:11614</v>
          </cell>
          <cell r="D100" t="str">
            <v>https://s129144.cdn.mytvnet.vn/vimages/2a/a6/69/95/5a/a2/2a695-poninfotvhd-channel-unkn.png</v>
          </cell>
        </row>
        <row r="101">
          <cell r="A101">
            <v>439</v>
          </cell>
          <cell r="B101" t="str">
            <v>ON MUSIC HD</v>
          </cell>
          <cell r="C101" t="str">
            <v>rtp://232.84.3.70:11632</v>
          </cell>
          <cell r="D101" t="str">
            <v>https://s129144.cdn.mytvnet.vn/vimages/2d/df/fc/c3/35/5d/2dfc3-ponmusichd-channel-unkn.png</v>
          </cell>
        </row>
        <row r="102">
          <cell r="A102">
            <v>441</v>
          </cell>
          <cell r="B102" t="str">
            <v>ON Sports News</v>
          </cell>
          <cell r="C102" t="str">
            <v>rtp://232.84.2.193:10942</v>
          </cell>
          <cell r="D102" t="str">
            <v>https://s129144.cdn.mytvnet.vn/vimages/6b/b3/32/2f/f7/72/6b32f-ponsportsnews-channel-unkn.png</v>
          </cell>
        </row>
        <row r="103">
          <cell r="A103">
            <v>415</v>
          </cell>
          <cell r="B103" t="str">
            <v>ON Golf</v>
          </cell>
          <cell r="C103" t="str">
            <v>rtp://232.84.2.246:10876</v>
          </cell>
          <cell r="D103" t="str">
            <v>https://s129144.cdn.mytvnet.vn/vimages/5a/a1/16/6f/f7/78/5a16f-pongolf-channel-unkn.png</v>
          </cell>
        </row>
        <row r="104">
          <cell r="A104">
            <v>406</v>
          </cell>
          <cell r="B104" t="str">
            <v>Thái Nguyên</v>
          </cell>
          <cell r="C104" t="str">
            <v>rtp://232.84.3.146:10774</v>
          </cell>
          <cell r="D104" t="str">
            <v>https://s129144.cdn.mytvnet.vn/vimages/d5/54/40/00/00/03/d5400-pthinguyn-channel-unkn.png</v>
          </cell>
        </row>
        <row r="105">
          <cell r="A105">
            <v>16</v>
          </cell>
          <cell r="B105" t="str">
            <v>HTV Phụ Nữ (HD)</v>
          </cell>
          <cell r="C105" t="str">
            <v>rtp://232.84.3.51:11746</v>
          </cell>
          <cell r="D105" t="str">
            <v>https://s129144.cdn.mytvnet.vn/vimages/de/ea/ad/d8/86/64/dead8-phtvphnhd-channel-unkn.png</v>
          </cell>
        </row>
        <row r="106">
          <cell r="A106">
            <v>153</v>
          </cell>
          <cell r="B106" t="str">
            <v>Yên Bái TV</v>
          </cell>
          <cell r="C106" t="str">
            <v>rtp://232.84.3.253:11440</v>
          </cell>
          <cell r="D106" t="str">
            <v>https://s129144.cdn.mytvnet.vn/vimages/8f/fe/e9/97/7d/dd/8fe97-pynbitv-channel-unkn.png</v>
          </cell>
        </row>
        <row r="107">
          <cell r="A107">
            <v>748</v>
          </cell>
          <cell r="B107" t="str">
            <v>K+ Kids (HD)</v>
          </cell>
          <cell r="C107" t="str">
            <v>rtp://232.84.3.42:11800</v>
          </cell>
          <cell r="D107" t="str">
            <v>https://s129144.cdn.mytvnet.vn/vimages/72/2a/a2/24/48/81/72a24-pkkidshd-channel-unkn.png</v>
          </cell>
        </row>
        <row r="108">
          <cell r="A108">
            <v>751</v>
          </cell>
          <cell r="B108" t="str">
            <v>K+ Kids</v>
          </cell>
          <cell r="C108" t="str">
            <v>rtp://232.84.3.42:11800</v>
          </cell>
          <cell r="D108" t="str">
            <v>https://s129144.cdn.mytvnet.vn/vimages/41/1f/fc/cf/f4/4c/41fcf-pkkids-channel-unkn.png</v>
          </cell>
        </row>
        <row r="109">
          <cell r="A109">
            <v>154</v>
          </cell>
          <cell r="B109" t="str">
            <v>Tuyên Quang TV</v>
          </cell>
          <cell r="C109" t="str">
            <v>rtp://232.84.2.91:9138</v>
          </cell>
          <cell r="D109" t="str">
            <v>https://s129144.cdn.mytvnet.vn/vimages/b6/61/1c/cf/fe/e0/b61cf-ptuynquangtv-channel-unkn.png</v>
          </cell>
        </row>
        <row r="110">
          <cell r="A110">
            <v>589</v>
          </cell>
          <cell r="B110" t="str">
            <v>Animal Plannet HD</v>
          </cell>
          <cell r="D110" t="str">
            <v>https://s129144.cdn.mytvnet.vn/vimages/c7/7d/df/fb/bc/c3/c7dfb-panimalplannethd-channel-unkn.png</v>
          </cell>
        </row>
        <row r="111">
          <cell r="A111">
            <v>590</v>
          </cell>
          <cell r="B111" t="str">
            <v>AXN HD</v>
          </cell>
          <cell r="D111" t="str">
            <v>https://s129144.cdn.mytvnet.vn/vimages/68/8a/a7/70/06/6f/68a70-paxnhd-channel-unkn.png</v>
          </cell>
        </row>
        <row r="112">
          <cell r="A112">
            <v>592</v>
          </cell>
          <cell r="B112" t="str">
            <v>CartoonNetwork HD</v>
          </cell>
          <cell r="D112" t="str">
            <v>https://s129144.cdn.mytvnet.vn/vimages/6f/ff/f4/47/73/3b/6ff47-pcartoonnetworkhd-channel-unkn.png</v>
          </cell>
        </row>
        <row r="113">
          <cell r="A113">
            <v>593</v>
          </cell>
          <cell r="B113" t="str">
            <v>CNN HD</v>
          </cell>
          <cell r="C113" t="str">
            <v>vstv466</v>
          </cell>
          <cell r="D113" t="str">
            <v>https://s129144.cdn.mytvnet.vn/vimages/93/3c/c3/3a/ab/be/93c3a-pcnnhd-channel-unkn.png</v>
          </cell>
        </row>
        <row r="114">
          <cell r="A114">
            <v>594</v>
          </cell>
          <cell r="B114" t="str">
            <v>Discovery(HD)</v>
          </cell>
          <cell r="D114" t="str">
            <v>https://s129144.cdn.mytvnet.vn/vimages/3c/cb/b3/37/74/49/3cb37-pdiscoveryhd-channel-unkn.png</v>
          </cell>
        </row>
        <row r="115">
          <cell r="A115">
            <v>742</v>
          </cell>
          <cell r="B115" t="str">
            <v>ON Kids (HD)</v>
          </cell>
          <cell r="C115" t="str">
            <v>rtp://232.84.3.41:11806</v>
          </cell>
          <cell r="D115" t="str">
            <v>https://s129144.cdn.mytvnet.vn/vimages/57/7e/e3/3d/d3/3b/57e3d-ponkidshd-channel-unkn.png</v>
          </cell>
        </row>
        <row r="116">
          <cell r="A116">
            <v>155</v>
          </cell>
          <cell r="B116" t="str">
            <v>Hà Giang TV</v>
          </cell>
          <cell r="C116" t="str">
            <v>rtp://232.84.2.85:8910</v>
          </cell>
          <cell r="D116" t="str">
            <v>https://s129144.cdn.mytvnet.vn/vimages/2d/d3/37/7d/d2/2b/2d37d-phgiangtv-channel-unkn.png</v>
          </cell>
        </row>
        <row r="117">
          <cell r="A117">
            <v>745</v>
          </cell>
          <cell r="B117" t="str">
            <v>ON Life (HD)</v>
          </cell>
          <cell r="C117" t="str">
            <v>rtp://232.84.3.40:11812</v>
          </cell>
          <cell r="D117" t="str">
            <v>https://s129144.cdn.mytvnet.vn/vimages/63/38/88/8e/e2/23/6388e-ponlifehd-channel-unkn.png</v>
          </cell>
        </row>
        <row r="118">
          <cell r="A118">
            <v>595</v>
          </cell>
          <cell r="B118" t="str">
            <v>FTV(HD)</v>
          </cell>
          <cell r="C118" t="str">
            <v>vstv445</v>
          </cell>
          <cell r="D118" t="str">
            <v>https://s129144.cdn.mytvnet.vn/vimages/02/29/9b/bd/da/aa/029bd-pftvhd-channel-unkn.png</v>
          </cell>
        </row>
        <row r="119">
          <cell r="A119">
            <v>598</v>
          </cell>
          <cell r="B119" t="str">
            <v>ABC Australia</v>
          </cell>
          <cell r="C119" t="str">
            <v>ABC Autrailia (OTT)</v>
          </cell>
          <cell r="D119" t="str">
            <v>https://s129144.cdn.mytvnet.vn/vimages/08/81/10/02/23/3b/08102-pabcaustralia-channel-unkn.png</v>
          </cell>
        </row>
        <row r="120">
          <cell r="A120">
            <v>596</v>
          </cell>
          <cell r="B120" t="str">
            <v>TLC HD</v>
          </cell>
          <cell r="D120" t="str">
            <v>https://s129144.cdn.mytvnet.vn/vimages/ce/e5/50/09/97/74/ce509-ptlchd-channel-unkn.png</v>
          </cell>
        </row>
        <row r="121">
          <cell r="A121">
            <v>597</v>
          </cell>
          <cell r="B121" t="str">
            <v>Warner HD</v>
          </cell>
          <cell r="D121" t="str">
            <v>https://s129144.cdn.mytvnet.vn/vimages/3e/e1/1d/df/f7/7c/3e1df-pwarnerhd-channel-unkn.png</v>
          </cell>
        </row>
        <row r="122">
          <cell r="A122">
            <v>116</v>
          </cell>
          <cell r="B122" t="str">
            <v>Lào Cai TV</v>
          </cell>
          <cell r="C122" t="str">
            <v>rtp://232.84.2.93:8718</v>
          </cell>
          <cell r="D122" t="str">
            <v>https://s129144.cdn.mytvnet.vn/vimages/e6/64/49/95/59/99/e6495-plocaitv-channel-unkn.png</v>
          </cell>
        </row>
        <row r="123">
          <cell r="A123">
            <v>455</v>
          </cell>
          <cell r="B123" t="str">
            <v>Quảng Ninh1 (QTV1) HD</v>
          </cell>
          <cell r="C123" t="str">
            <v>rtp://232.84.1.248:10978</v>
          </cell>
          <cell r="D123" t="str">
            <v>https://s129144.cdn.mytvnet.vn/vimages/b5/51/11/10/0d/d1/b5110-pqungninh1qtv1hd-channel-unkn.png</v>
          </cell>
        </row>
        <row r="124">
          <cell r="A124">
            <v>457</v>
          </cell>
          <cell r="B124" t="str">
            <v>Quảng Ninh3 (QTV3) HD</v>
          </cell>
          <cell r="C124" t="str">
            <v>rtp://232.84.1.249:10984</v>
          </cell>
          <cell r="D124" t="str">
            <v>https://s129144.cdn.mytvnet.vn/vimages/c5/56/63/32/2a/a0/c5632-pqungninh3qtv3hd-channel-unkn.png</v>
          </cell>
        </row>
        <row r="125">
          <cell r="A125">
            <v>156</v>
          </cell>
          <cell r="B125" t="str">
            <v>Lai Châu TV</v>
          </cell>
          <cell r="C125" t="str">
            <v>rtp://232.84.3.133:9174</v>
          </cell>
          <cell r="D125" t="str">
            <v>https://s129144.cdn.mytvnet.vn/vimages/17/75/5b/b5/54/4f/175b5-plaichutv-channel-unkn.png</v>
          </cell>
        </row>
        <row r="126">
          <cell r="A126">
            <v>553</v>
          </cell>
          <cell r="B126" t="str">
            <v>DreamWorks (HD)</v>
          </cell>
          <cell r="C126" t="str">
            <v>rtp://232.84.3.227:11284</v>
          </cell>
          <cell r="D126" t="str">
            <v>https://s129144.cdn.mytvnet.vn/vimages/de/eb/ba/a7/7e/ee/deba7-pdreamworkshd-channel-unkn.png</v>
          </cell>
        </row>
        <row r="127">
          <cell r="A127">
            <v>739</v>
          </cell>
          <cell r="B127" t="str">
            <v>DMAX (HD)</v>
          </cell>
          <cell r="C127" t="str">
            <v>rtp:// 232.84.1.1:7980</v>
          </cell>
          <cell r="D127" t="str">
            <v>https://s129144.cdn.mytvnet.vn/vimages/be/ed/de/e9/92/2a/bede9-pdmaxhd-channel-unkn.png</v>
          </cell>
        </row>
        <row r="128">
          <cell r="A128">
            <v>157</v>
          </cell>
          <cell r="B128" t="str">
            <v>Sơn La TV</v>
          </cell>
          <cell r="C128" t="str">
            <v>rtp://232.84.1.184:9078</v>
          </cell>
          <cell r="D128" t="str">
            <v>https://s129144.cdn.mytvnet.vn/vimages/bb/b7/75/54/4d/df/bb754-psnlatv-channel-unkn.png</v>
          </cell>
        </row>
        <row r="129">
          <cell r="A129">
            <v>158</v>
          </cell>
          <cell r="B129" t="str">
            <v>Điện Biên TV</v>
          </cell>
          <cell r="C129" t="str">
            <v>rtp://232.84.3.116:8880</v>
          </cell>
          <cell r="D129" t="str">
            <v>https://s129144.cdn.mytvnet.vn/vimages/18/8b/bd/d3/30/0a/18bd3-pinbintv-channel-unkn.png</v>
          </cell>
        </row>
        <row r="130">
          <cell r="A130">
            <v>159</v>
          </cell>
          <cell r="B130" t="str">
            <v>Hòa Bình TV</v>
          </cell>
          <cell r="C130" t="str">
            <v>rtp://232.84.3.213:11200</v>
          </cell>
          <cell r="D130" t="str">
            <v>https://s129144.cdn.mytvnet.vn/vimages/0e/e1/14/4e/e1/16/0e14e-phabnhtv-channel-unkn.png</v>
          </cell>
        </row>
        <row r="131">
          <cell r="A131">
            <v>160</v>
          </cell>
          <cell r="B131" t="str">
            <v>Ninh Bình TV</v>
          </cell>
          <cell r="C131" t="str">
            <v>rtp://232.84.3.89:11518</v>
          </cell>
          <cell r="D131" t="str">
            <v>https://s129144.cdn.mytvnet.vn/vimages/e9/97/7f/fb/be/e9/e97fb-pninhbnhtv-channel-unkn.png</v>
          </cell>
        </row>
        <row r="132">
          <cell r="A132">
            <v>477</v>
          </cell>
          <cell r="B132" t="str">
            <v>Thanh Hóa TV HD</v>
          </cell>
          <cell r="C132" t="str">
            <v>rtp://232.84.3.198:11110</v>
          </cell>
          <cell r="D132" t="str">
            <v>https://s129144.cdn.mytvnet.vn/vimages/54/4c/c8/80/06/6f/54c80-pthanhhatvhd-channel-unkn.png</v>
          </cell>
        </row>
        <row r="133">
          <cell r="A133">
            <v>453</v>
          </cell>
          <cell r="B133" t="str">
            <v>Nghệ An (HD)</v>
          </cell>
          <cell r="C133" t="str">
            <v>rtp://232.84.2.198:10972</v>
          </cell>
          <cell r="D133" t="str">
            <v>https://s129144.cdn.mytvnet.vn/vimages/c0/04/40/0b/ba/ad/c040b-pnghanhd-channel-unkn.png</v>
          </cell>
        </row>
        <row r="134">
          <cell r="A134">
            <v>405</v>
          </cell>
          <cell r="B134" t="str">
            <v>Hà Tĩnh TV HD</v>
          </cell>
          <cell r="C134" t="str">
            <v>rtp://232.84.3.134:10768</v>
          </cell>
          <cell r="D134" t="str">
            <v>https://s129144.cdn.mytvnet.vn/vimages/cf/f0/0c/c8/8e/ed/cf0c8-phtnhtvhd-channel-unkn.png</v>
          </cell>
        </row>
        <row r="135">
          <cell r="A135">
            <v>90</v>
          </cell>
          <cell r="B135" t="str">
            <v>Đà Nẵng 1</v>
          </cell>
          <cell r="C135" t="str">
            <v>rtp://232.84.1.146:8850</v>
          </cell>
          <cell r="D135" t="str">
            <v>https://s129144.cdn.mytvnet.vn/vimages/41/13/34/4b/ba/aa/4134b-pnng1-channel-unkn.png</v>
          </cell>
        </row>
        <row r="136">
          <cell r="A136">
            <v>60</v>
          </cell>
          <cell r="B136" t="str">
            <v>Đà Nẵng 2</v>
          </cell>
          <cell r="C136" t="str">
            <v>rtp://232.84.3.122:8856</v>
          </cell>
          <cell r="D136" t="str">
            <v>https://s129144.cdn.mytvnet.vn/vimages/2a/ac/cd/df/f2/2a/2acdf-pnng2-channel-unkn.png</v>
          </cell>
        </row>
        <row r="137">
          <cell r="A137">
            <v>162</v>
          </cell>
          <cell r="B137" t="str">
            <v>DakLak TV</v>
          </cell>
          <cell r="C137" t="str">
            <v>rtp://232.84.3.99:11464</v>
          </cell>
          <cell r="D137" t="str">
            <v>https://s129144.cdn.mytvnet.vn/vimages/58/87/7e/e1/12/2a/587e1-pdaklaktv-channel-unkn.png</v>
          </cell>
        </row>
        <row r="138">
          <cell r="A138">
            <v>164</v>
          </cell>
          <cell r="B138" t="str">
            <v>Lâm Đồng TV1</v>
          </cell>
          <cell r="C138" t="str">
            <v>rtp://232.84.3.58:11704</v>
          </cell>
          <cell r="D138" t="str">
            <v>https://s129144.cdn.mytvnet.vn/vimages/d1/16/6c/c0/0b/bd/d16c0-plmngtv1-channel-unkn.png</v>
          </cell>
        </row>
        <row r="139">
          <cell r="A139">
            <v>125</v>
          </cell>
          <cell r="B139" t="str">
            <v>Lâm Đồng TV2</v>
          </cell>
          <cell r="C139" t="str">
            <v>rtp://232.84.3.87:11530</v>
          </cell>
          <cell r="D139" t="str">
            <v>https://s129144.cdn.mytvnet.vn/vimages/88/85/59/96/63/3d/88596-plmngtv2-channel-unkn.png</v>
          </cell>
        </row>
        <row r="140">
          <cell r="A140">
            <v>163</v>
          </cell>
          <cell r="B140" t="str">
            <v>Lâm Đồng TV3</v>
          </cell>
          <cell r="C140" t="str">
            <v>rtp://232.84.3.98:11458</v>
          </cell>
          <cell r="D140" t="str">
            <v>https://s129144.cdn.mytvnet.vn/vimages/bd/d0/0a/a6/6b/b4/bd0a6-plmngtv3-channel-unkn.png</v>
          </cell>
        </row>
        <row r="141">
          <cell r="A141">
            <v>95</v>
          </cell>
          <cell r="B141" t="str">
            <v>Đồng Nai 2</v>
          </cell>
          <cell r="C141" t="str">
            <v>rtp://232.84.1.153:8892</v>
          </cell>
          <cell r="D141" t="str">
            <v>https://s129144.cdn.mytvnet.vn/vimages/a7/7f/f9/97/7e/e7/a7f97-pngnai2-channel-unkn.png</v>
          </cell>
        </row>
        <row r="142">
          <cell r="A142">
            <v>404</v>
          </cell>
          <cell r="B142" t="str">
            <v>Đồng Nai 1 HD</v>
          </cell>
          <cell r="C142" t="str">
            <v>rtp://232.84.3.112:10762</v>
          </cell>
          <cell r="D142" t="str">
            <v>https://s129144.cdn.mytvnet.vn/vimages/fc/c0/0c/c8/8a/ae/fc0c8-pngnai1hd-channel-unkn.png</v>
          </cell>
        </row>
        <row r="143">
          <cell r="A143">
            <v>402</v>
          </cell>
          <cell r="B143" t="str">
            <v>Bình Dương 1 HD</v>
          </cell>
          <cell r="C143" t="str">
            <v>rtp://232.84.3.109:10750</v>
          </cell>
          <cell r="D143" t="str">
            <v>https://s129144.cdn.mytvnet.vn/vimages/ef/f4/46/67/7b/b6/ef467-pbnhdng1hd-channel-unkn.png</v>
          </cell>
        </row>
        <row r="144">
          <cell r="A144">
            <v>479</v>
          </cell>
          <cell r="B144" t="str">
            <v>BTV9 - An Viên TV</v>
          </cell>
          <cell r="C144" t="str">
            <v>rtp://232.84.3.199:11116</v>
          </cell>
          <cell r="D144" t="str">
            <v>https://s129144.cdn.mytvnet.vn/vimages/28/82/24/44/4e/e7/28244-pbtv9anvintv-channel-unkn.png</v>
          </cell>
        </row>
        <row r="145">
          <cell r="A145">
            <v>47</v>
          </cell>
          <cell r="B145" t="str">
            <v>Tây Ninh 1</v>
          </cell>
          <cell r="C145" t="str">
            <v>rtp://232.84.1.171:9000</v>
          </cell>
          <cell r="D145" t="str">
            <v>https://s129144.cdn.mytvnet.vn/vimages/b4/4e/e6/63/34/4f/b4e63-ptyninh1-channel-unkn.png</v>
          </cell>
        </row>
        <row r="146">
          <cell r="A146">
            <v>53</v>
          </cell>
          <cell r="B146" t="str">
            <v>Tây Ninh 2 (HD)</v>
          </cell>
          <cell r="C146" t="str">
            <v>rtp://232.84.3.233:11320</v>
          </cell>
          <cell r="D146" t="str">
            <v>https://s129144.cdn.mytvnet.vn/vimages/c5/5f/f5/5b/bd/df/c5f5b-ptyninh2hd-channel-unkn.png</v>
          </cell>
        </row>
        <row r="147">
          <cell r="A147">
            <v>39</v>
          </cell>
          <cell r="B147" t="str">
            <v>Cần Thơ TV1</v>
          </cell>
          <cell r="C147" t="str">
            <v>rtp://232.84.2.118:8838</v>
          </cell>
          <cell r="D147" t="str">
            <v>https://s129144.cdn.mytvnet.vn/vimages/88/87/79/93/30/09/88793-pcnthtv1-channel-unkn.png</v>
          </cell>
        </row>
        <row r="148">
          <cell r="A148">
            <v>181</v>
          </cell>
          <cell r="B148" t="str">
            <v>Cần Thơ TV2</v>
          </cell>
          <cell r="C148" t="str">
            <v>rtp://232.84.2.112:8940</v>
          </cell>
          <cell r="D148" t="str">
            <v>https://s129144.cdn.mytvnet.vn/vimages/12/23/3e/e2/20/05/123e2-pcnthtv2-channel-unkn.png</v>
          </cell>
        </row>
        <row r="149">
          <cell r="A149">
            <v>52</v>
          </cell>
          <cell r="B149" t="str">
            <v>Cần Thơ TV3</v>
          </cell>
          <cell r="C149" t="str">
            <v>rtp://232.84.3.97:11470</v>
          </cell>
          <cell r="D149" t="str">
            <v>https://s129144.cdn.mytvnet.vn/vimages/1f/f2/2a/af/f0/02/1f2af-pcnthtv3-channel-unkn.png</v>
          </cell>
        </row>
        <row r="150">
          <cell r="A150">
            <v>96</v>
          </cell>
          <cell r="B150" t="str">
            <v>Đồng Tháp TV1</v>
          </cell>
          <cell r="C150" t="str">
            <v>rtp://232.84.3.235:11332</v>
          </cell>
          <cell r="D150" t="str">
            <v>https://s129144.cdn.mytvnet.vn/vimages/1a/ab/b5/54/4f/ff/1ab54-pngthptv1-channel-unkn.png</v>
          </cell>
        </row>
        <row r="151">
          <cell r="A151">
            <v>54</v>
          </cell>
          <cell r="B151" t="str">
            <v>Đồng Tháp TV2</v>
          </cell>
          <cell r="C151" t="str">
            <v>rtp://232.84.3.204:11146</v>
          </cell>
          <cell r="D151" t="str">
            <v>https://s129144.cdn.mytvnet.vn/vimages/89/9e/ef/f7/7a/ad/89ef7-pngthptv2-channel-unkn.png</v>
          </cell>
        </row>
        <row r="152">
          <cell r="A152">
            <v>34</v>
          </cell>
          <cell r="B152" t="str">
            <v>An Giang 2</v>
          </cell>
          <cell r="C152" t="str">
            <v>rtp://232.84.3.81:11566</v>
          </cell>
          <cell r="D152" t="str">
            <v>https://s129144.cdn.mytvnet.vn/vimages/21/19/97/73/3e/e0/21973-pangiang2-channel-unkn.png</v>
          </cell>
        </row>
        <row r="153">
          <cell r="A153">
            <v>433</v>
          </cell>
          <cell r="B153" t="str">
            <v>An Giang 1</v>
          </cell>
          <cell r="C153" t="str">
            <v>rtp://232.84.3.161:10918</v>
          </cell>
          <cell r="D153" t="str">
            <v>https://s129144.cdn.mytvnet.vn/vimages/7d/d7/74/42/2c/c4/7d742-pangiang1-channel-unkn.png</v>
          </cell>
        </row>
        <row r="154">
          <cell r="A154">
            <v>123</v>
          </cell>
          <cell r="B154" t="str">
            <v>Cà Mau</v>
          </cell>
          <cell r="C154" t="str">
            <v>rtp://232.84.2.117:8826</v>
          </cell>
          <cell r="D154" t="str">
            <v>https://s129144.cdn.mytvnet.vn/vimages/bf/f6/69/9e/e0/0b/bf69e-pcmau-channel-unkn.png</v>
          </cell>
        </row>
        <row r="155">
          <cell r="A155">
            <v>167</v>
          </cell>
          <cell r="B155" t="str">
            <v>Bến Tre TV</v>
          </cell>
          <cell r="C155" t="str">
            <v>rtp://232.84.3.95:11482</v>
          </cell>
          <cell r="D155" t="str">
            <v>https://s129144.cdn.mytvnet.vn/vimages/c2/2b/be/ec/ca/a7/c2bec-pbntretv-channel-unkn.png</v>
          </cell>
        </row>
        <row r="156">
          <cell r="A156">
            <v>97</v>
          </cell>
          <cell r="B156" t="str">
            <v>Vũng Tàu HD</v>
          </cell>
          <cell r="C156" t="str">
            <v>rtp://232.84.3.47:11770</v>
          </cell>
          <cell r="D156" t="str">
            <v>https://s129144.cdn.mytvnet.vn/vimages/01/11/10/0a/a8/84/0110a-pvngtuhd-channel-unkn.png</v>
          </cell>
        </row>
        <row r="157">
          <cell r="A157">
            <v>120</v>
          </cell>
          <cell r="B157" t="str">
            <v>Quảng Bình</v>
          </cell>
          <cell r="C157" t="str">
            <v>rtp://232.84.2.98:9042</v>
          </cell>
          <cell r="D157" t="str">
            <v>https://s129144.cdn.mytvnet.vn/vimages/7f/fc/cd/d0/05/5b/7fcd0-pqungbnh-channel-unkn.png</v>
          </cell>
        </row>
        <row r="158">
          <cell r="A158">
            <v>121</v>
          </cell>
          <cell r="B158" t="str">
            <v>Quảng Trị HD</v>
          </cell>
          <cell r="C158" t="str">
            <v>rtp://232.84.3.46:11776</v>
          </cell>
          <cell r="D158" t="str">
            <v>https://s129144.cdn.mytvnet.vn/vimages/1d/d1/11/12/20/0b/1d112-pqungtrhd-channel-unkn.png</v>
          </cell>
        </row>
        <row r="159">
          <cell r="A159">
            <v>168</v>
          </cell>
          <cell r="B159" t="str">
            <v>Huế TV</v>
          </cell>
          <cell r="C159" t="str">
            <v>rtp://232.84.2.106:9120</v>
          </cell>
          <cell r="D159" t="str">
            <v>https://s129144.cdn.mytvnet.vn/vimages/cf/f6/63/3e/e7/70/cf63e-phutv-channel-unkn.png</v>
          </cell>
        </row>
        <row r="160">
          <cell r="A160">
            <v>409</v>
          </cell>
          <cell r="B160" t="str">
            <v>Quảng Ngãi (HD)</v>
          </cell>
          <cell r="C160" t="str">
            <v>rtp://232.84.3.126:10798</v>
          </cell>
          <cell r="D160" t="str">
            <v>https://s129144.cdn.mytvnet.vn/vimages/9b/bf/fe/e2/23/3e/9bfe2-pqungngihd-channel-unkn.png</v>
          </cell>
        </row>
        <row r="161">
          <cell r="A161">
            <v>170</v>
          </cell>
          <cell r="B161" t="str">
            <v>Bình Định TV</v>
          </cell>
          <cell r="C161" t="str">
            <v>rtp://232.84.2.88:8784</v>
          </cell>
          <cell r="D161" t="str">
            <v>https://s129144.cdn.mytvnet.vn/vimages/e1/14/44/41/15/5d/e1441-pbnhnhtv-channel-unkn.png</v>
          </cell>
        </row>
        <row r="162">
          <cell r="A162">
            <v>245</v>
          </cell>
          <cell r="B162" t="str">
            <v>PhuYenTV</v>
          </cell>
          <cell r="C162" t="str">
            <v>rtp://232.84.3.108:10362</v>
          </cell>
          <cell r="D162" t="str">
            <v>https://s129144.cdn.mytvnet.vn/vimages/a7/7b/be/e7/78/8d/a7be7-pphuyentv-channel-unkn.png</v>
          </cell>
        </row>
        <row r="163">
          <cell r="A163">
            <v>114</v>
          </cell>
          <cell r="B163" t="str">
            <v>Khánh Hòa</v>
          </cell>
          <cell r="C163" t="str">
            <v>rtp://232.84.2.99:8958</v>
          </cell>
          <cell r="D163" t="str">
            <v>https://s129144.cdn.mytvnet.vn/vimages/7e/e2/2d/d4/45/56/7e2d4-pkhnhha-channel-unkn.png</v>
          </cell>
        </row>
        <row r="164">
          <cell r="A164">
            <v>267</v>
          </cell>
          <cell r="B164" t="str">
            <v>801</v>
          </cell>
          <cell r="C164" t="str">
            <v>rtp://232.84.2.175:10858</v>
          </cell>
          <cell r="D164" t="str">
            <v>https://s129144.cdn.mytvnet.vn/vimages/91/1e/e6/66/6f/ff/91e66-p801-channel-unkn.png</v>
          </cell>
        </row>
        <row r="165">
          <cell r="A165">
            <v>349</v>
          </cell>
          <cell r="B165" t="str">
            <v>802</v>
          </cell>
          <cell r="C165" t="str">
            <v>rtp://232.84.2.176:10864</v>
          </cell>
          <cell r="D165" t="str">
            <v>https://s129144.cdn.mytvnet.vn/vimages/e6/68/82/2a/a6/62/e682a-p802-channel-unkn.png</v>
          </cell>
        </row>
        <row r="166">
          <cell r="A166">
            <v>447</v>
          </cell>
          <cell r="B166" t="str">
            <v>803</v>
          </cell>
          <cell r="C166" t="str">
            <v>rtp://232.84.2.195:10954</v>
          </cell>
          <cell r="D166" t="str">
            <v>https://s129144.cdn.mytvnet.vn/vimages/f0/02/2e/e3/3d/dc/f02e3-p803-channel-unkn.png</v>
          </cell>
        </row>
        <row r="167">
          <cell r="A167">
            <v>449</v>
          </cell>
          <cell r="B167" t="str">
            <v>804</v>
          </cell>
          <cell r="C167" t="str">
            <v>rtp://232.84.2.196:10960</v>
          </cell>
          <cell r="D167" t="str">
            <v>https://s129144.cdn.mytvnet.vn/vimages/6c/c8/8b/ba/a7/72/6c8ba-p804-channel-unkn.png</v>
          </cell>
        </row>
        <row r="168">
          <cell r="A168">
            <v>172</v>
          </cell>
          <cell r="B168" t="str">
            <v>Gia Lai TV</v>
          </cell>
          <cell r="C168" t="str">
            <v>rtp://232.84.3.138:8904</v>
          </cell>
          <cell r="D168" t="str">
            <v>https://s129144.cdn.mytvnet.vn/vimages/73/3d/da/a2/26/6e/73da2-pgialaitv-channel-unkn.png</v>
          </cell>
        </row>
        <row r="169">
          <cell r="A169">
            <v>173</v>
          </cell>
          <cell r="B169" t="str">
            <v>KonTum TV</v>
          </cell>
          <cell r="C169" t="str">
            <v>rtp://232.84.3.80:11572</v>
          </cell>
          <cell r="D169" t="str">
            <v>https://s129144.cdn.mytvnet.vn/vimages/82/2b/bf/fa/a1/10/82bfa-pkontumtv-channel-unkn.png</v>
          </cell>
        </row>
        <row r="170">
          <cell r="A170">
            <v>175</v>
          </cell>
          <cell r="B170" t="str">
            <v>Vĩnh Long 5</v>
          </cell>
          <cell r="C170" t="str">
            <v>rtp://232.84.2.102:9114</v>
          </cell>
          <cell r="D170" t="str">
            <v>https://s129144.cdn.mytvnet.vn/vimages/ed/dd/d9/94/47/74/edd94-pvnhlong5-channel-unkn.png</v>
          </cell>
        </row>
        <row r="171">
          <cell r="A171">
            <v>176</v>
          </cell>
          <cell r="B171" t="str">
            <v>Khánh Hòa 1</v>
          </cell>
          <cell r="C171" t="str">
            <v>rtp://232.84.2.74:9024</v>
          </cell>
          <cell r="D171" t="str">
            <v>https://s129144.cdn.mytvnet.vn/vimages/a0/0b/bf/fd/d6/6e/a0bfd-pkhnhha1-channel-unkn.png</v>
          </cell>
        </row>
        <row r="172">
          <cell r="A172">
            <v>57</v>
          </cell>
          <cell r="B172" t="str">
            <v>Vĩnh Phúc</v>
          </cell>
          <cell r="C172" t="str">
            <v>rtp://232.84.2.83:9156</v>
          </cell>
          <cell r="D172" t="str">
            <v>https://s129144.cdn.mytvnet.vn/vimages/99/94/4e/e0/05/5d/994e0-pvnhphc-channel-unkn.png</v>
          </cell>
        </row>
        <row r="173">
          <cell r="A173">
            <v>408</v>
          </cell>
          <cell r="B173" t="str">
            <v>Hưng Yên TV HD</v>
          </cell>
          <cell r="C173" t="str">
            <v>rtp://232.84.3.110:10786</v>
          </cell>
          <cell r="D173" t="str">
            <v>https://s129144.cdn.mytvnet.vn/vimages/11/14/40/0e/e5/54/1140e-phngyntvhd-channel-unkn.png</v>
          </cell>
        </row>
        <row r="174">
          <cell r="A174">
            <v>40</v>
          </cell>
          <cell r="B174" t="str">
            <v>Hà Nam</v>
          </cell>
          <cell r="C174" t="str">
            <v>rtp://232.84.2.82:8916</v>
          </cell>
          <cell r="D174" t="str">
            <v>https://s129144.cdn.mytvnet.vn/vimages/41/11/1f/f0/06/63/411f0-phnam-channel-unkn.png</v>
          </cell>
        </row>
        <row r="175">
          <cell r="A175">
            <v>179</v>
          </cell>
          <cell r="B175" t="str">
            <v>Quảng Nam</v>
          </cell>
          <cell r="C175" t="str">
            <v>rtp://232.84.2.81:9048</v>
          </cell>
          <cell r="D175" t="str">
            <v>https://s129144.cdn.mytvnet.vn/vimages/a7/72/2b/bf/f2/2e/a72bf-pqungnam-channel-unkn.png</v>
          </cell>
        </row>
        <row r="176">
          <cell r="A176">
            <v>119</v>
          </cell>
          <cell r="B176" t="str">
            <v>Bình Phước</v>
          </cell>
          <cell r="C176" t="str">
            <v>rtp://232.84.2.90:8814</v>
          </cell>
          <cell r="D176" t="str">
            <v>https://s129144.cdn.mytvnet.vn/vimages/4f/f8/82/2f/f5/5e/4f82f-pbnhphc-channel-unkn.png</v>
          </cell>
        </row>
        <row r="177">
          <cell r="A177">
            <v>180</v>
          </cell>
          <cell r="B177" t="str">
            <v>Bạc Liêu TV</v>
          </cell>
          <cell r="C177" t="str">
            <v>rtp://232.84.2.116:8766</v>
          </cell>
          <cell r="D177" t="str">
            <v>https://s129144.cdn.mytvnet.vn/vimages/6b/b9/95/5c/c6/6a/6b95c-pbcliutv-channel-unkn.png</v>
          </cell>
        </row>
        <row r="178">
          <cell r="A178">
            <v>182</v>
          </cell>
          <cell r="B178" t="str">
            <v>Bắc Kạn TV</v>
          </cell>
          <cell r="C178" t="str">
            <v>rtp://232.84.3.94:11488</v>
          </cell>
          <cell r="D178" t="str">
            <v>https://s129144.cdn.mytvnet.vn/vimages/d8/87/7c/ce/ef/f2/d87ce-pbckntv-channel-unkn.png</v>
          </cell>
        </row>
        <row r="179">
          <cell r="A179">
            <v>183</v>
          </cell>
          <cell r="B179" t="str">
            <v>Bắc Ninh</v>
          </cell>
          <cell r="C179" t="str">
            <v>rtp://232.84.3.100:11452</v>
          </cell>
          <cell r="D179" t="str">
            <v>https://s129144.cdn.mytvnet.vn/vimages/22/2e/e6/6e/ea/ad/22e6e-pbcninh-channel-unkn.png</v>
          </cell>
        </row>
        <row r="180">
          <cell r="A180">
            <v>360</v>
          </cell>
          <cell r="B180" t="str">
            <v>Bắc Ninh HD</v>
          </cell>
          <cell r="C180" t="str">
            <v>rtp://232.84.2.245:10506</v>
          </cell>
          <cell r="D180" t="str">
            <v>https://s129144.cdn.mytvnet.vn/vimages/e5/5f/ff/ff/f4/4c/e5fff-pbcninhhd-channel-unkn.png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tabSelected="1" topLeftCell="C1" workbookViewId="0">
      <selection activeCell="F20" sqref="F20"/>
    </sheetView>
  </sheetViews>
  <sheetFormatPr defaultRowHeight="15" x14ac:dyDescent="0.25"/>
  <cols>
    <col min="1" max="1" width="5" style="2" hidden="1" customWidth="1"/>
    <col min="2" max="2" width="72" style="2" hidden="1" customWidth="1"/>
    <col min="3" max="3" width="12" style="2" bestFit="1" customWidth="1"/>
    <col min="4" max="4" width="29" style="2" bestFit="1" customWidth="1"/>
    <col min="5" max="5" width="16" style="2" bestFit="1" customWidth="1"/>
    <col min="6" max="6" width="17" style="2" bestFit="1" customWidth="1"/>
    <col min="7" max="7" width="23" style="2" bestFit="1" customWidth="1"/>
    <col min="8" max="8" width="48" style="2" customWidth="1"/>
    <col min="9" max="9" width="48" style="2" bestFit="1" customWidth="1"/>
    <col min="10" max="10" width="48" customWidth="1"/>
    <col min="11" max="11" width="12" style="2" bestFit="1" customWidth="1"/>
    <col min="12" max="13" width="9.140625" style="2" customWidth="1"/>
    <col min="14" max="16384" width="9.140625" style="2"/>
  </cols>
  <sheetData>
    <row r="1" spans="1:11" ht="12.75" x14ac:dyDescent="0.2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2.75" x14ac:dyDescent="0.2">
      <c r="A2" s="2">
        <v>1</v>
      </c>
      <c r="B2" s="2" t="s">
        <v>11</v>
      </c>
      <c r="C2" s="2">
        <v>267</v>
      </c>
      <c r="D2" s="2" t="s">
        <v>12</v>
      </c>
      <c r="E2" s="2" t="s">
        <v>12</v>
      </c>
      <c r="F2" s="2" t="s">
        <v>12</v>
      </c>
      <c r="G2" s="2" t="s">
        <v>12</v>
      </c>
      <c r="H2" s="2" t="str">
        <f>IFERROR(VLOOKUP(C2,[1]Sheet1!$A:$D,4,0),"")</f>
        <v>https://s129144.cdn.mytvnet.vn/vimages/91/1e/e6/66/6f/ff/91e66-p801-channel-unkn.png</v>
      </c>
      <c r="I2" s="2" t="str">
        <f>IFERROR(VLOOKUP(C2,[1]Sheet1!$A:$D,2,0),"")</f>
        <v>801</v>
      </c>
      <c r="J2" s="2" t="str">
        <f>IFERROR(VLOOKUP(C2,[1]Sheet1!$A:$D,3,0),"")</f>
        <v>rtp://232.84.2.175:10858</v>
      </c>
      <c r="K2" s="2" t="b">
        <f t="shared" ref="K2:K33" si="0">D2=I2</f>
        <v>1</v>
      </c>
    </row>
    <row r="3" spans="1:11" ht="12.75" x14ac:dyDescent="0.2">
      <c r="A3" s="2">
        <v>2</v>
      </c>
      <c r="B3" s="2" t="s">
        <v>13</v>
      </c>
      <c r="C3" s="2">
        <v>349</v>
      </c>
      <c r="D3" s="2" t="s">
        <v>14</v>
      </c>
      <c r="E3" s="2" t="s">
        <v>14</v>
      </c>
      <c r="F3" s="2" t="s">
        <v>14</v>
      </c>
      <c r="G3" s="2" t="s">
        <v>14</v>
      </c>
      <c r="H3" s="2" t="str">
        <f>IFERROR(VLOOKUP(C3,[1]Sheet1!$A:$D,4,0),"")</f>
        <v>https://s129144.cdn.mytvnet.vn/vimages/e6/68/82/2a/a6/62/e682a-p802-channel-unkn.png</v>
      </c>
      <c r="I3" s="2" t="str">
        <f>IFERROR(VLOOKUP(C3,[1]Sheet1!$A:$D,2,0),"")</f>
        <v>802</v>
      </c>
      <c r="J3" s="2" t="str">
        <f>IFERROR(VLOOKUP(C3,[1]Sheet1!$A:$D,3,0),"")</f>
        <v>rtp://232.84.2.176:10864</v>
      </c>
      <c r="K3" s="2" t="b">
        <f t="shared" si="0"/>
        <v>1</v>
      </c>
    </row>
    <row r="4" spans="1:11" ht="12.75" x14ac:dyDescent="0.2">
      <c r="A4" s="2">
        <v>3</v>
      </c>
      <c r="B4" s="2" t="s">
        <v>15</v>
      </c>
      <c r="C4" s="2">
        <v>447</v>
      </c>
      <c r="D4" s="2" t="s">
        <v>16</v>
      </c>
      <c r="E4" s="2" t="s">
        <v>16</v>
      </c>
      <c r="F4" s="2" t="s">
        <v>16</v>
      </c>
      <c r="G4" s="2" t="s">
        <v>16</v>
      </c>
      <c r="H4" s="2" t="str">
        <f>IFERROR(VLOOKUP(C4,[1]Sheet1!$A:$D,4,0),"")</f>
        <v>https://s129144.cdn.mytvnet.vn/vimages/f0/02/2e/e3/3d/dc/f02e3-p803-channel-unkn.png</v>
      </c>
      <c r="I4" s="2" t="str">
        <f>IFERROR(VLOOKUP(C4,[1]Sheet1!$A:$D,2,0),"")</f>
        <v>803</v>
      </c>
      <c r="J4" s="2" t="str">
        <f>IFERROR(VLOOKUP(C4,[1]Sheet1!$A:$D,3,0),"")</f>
        <v>rtp://232.84.2.195:10954</v>
      </c>
      <c r="K4" s="2" t="b">
        <f t="shared" si="0"/>
        <v>1</v>
      </c>
    </row>
    <row r="5" spans="1:11" ht="12.75" x14ac:dyDescent="0.2">
      <c r="A5" s="2">
        <v>4</v>
      </c>
      <c r="B5" s="2" t="s">
        <v>17</v>
      </c>
      <c r="C5" s="2">
        <v>449</v>
      </c>
      <c r="D5" s="2" t="s">
        <v>18</v>
      </c>
      <c r="E5" s="2" t="s">
        <v>18</v>
      </c>
      <c r="F5" s="2" t="s">
        <v>18</v>
      </c>
      <c r="G5" s="2" t="s">
        <v>18</v>
      </c>
      <c r="H5" s="2" t="str">
        <f>IFERROR(VLOOKUP(C5,[1]Sheet1!$A:$D,4,0),"")</f>
        <v>https://s129144.cdn.mytvnet.vn/vimages/6c/c8/8b/ba/a7/72/6c8ba-p804-channel-unkn.png</v>
      </c>
      <c r="I5" s="2" t="str">
        <f>IFERROR(VLOOKUP(C5,[1]Sheet1!$A:$D,2,0),"")</f>
        <v>804</v>
      </c>
      <c r="J5" s="2" t="str">
        <f>IFERROR(VLOOKUP(C5,[1]Sheet1!$A:$D,3,0),"")</f>
        <v>rtp://232.84.2.196:10960</v>
      </c>
      <c r="K5" s="2" t="b">
        <f t="shared" si="0"/>
        <v>1</v>
      </c>
    </row>
    <row r="6" spans="1:11" ht="12.75" x14ac:dyDescent="0.2">
      <c r="A6" s="2">
        <v>5</v>
      </c>
      <c r="B6" s="2" t="s">
        <v>19</v>
      </c>
      <c r="C6" s="2">
        <v>670</v>
      </c>
      <c r="D6" s="2" t="s">
        <v>20</v>
      </c>
      <c r="E6" s="2" t="s">
        <v>20</v>
      </c>
      <c r="F6" s="2" t="s">
        <v>20</v>
      </c>
      <c r="G6" s="2" t="s">
        <v>20</v>
      </c>
      <c r="H6" s="2" t="str">
        <f>IFERROR(VLOOKUP(C6,[1]Sheet1!$A:$D,4,0),"")</f>
        <v/>
      </c>
      <c r="I6" s="2" t="str">
        <f>IFERROR(VLOOKUP(C6,[1]Sheet1!$A:$D,2,0),"")</f>
        <v/>
      </c>
      <c r="J6" s="2" t="str">
        <f>IFERROR(VLOOKUP(C6,[1]Sheet1!$A:$D,3,0),"")</f>
        <v/>
      </c>
      <c r="K6" s="2" t="b">
        <f t="shared" si="0"/>
        <v>0</v>
      </c>
    </row>
    <row r="7" spans="1:11" ht="12.75" x14ac:dyDescent="0.2">
      <c r="A7" s="2">
        <v>6</v>
      </c>
      <c r="B7" s="2" t="s">
        <v>21</v>
      </c>
      <c r="C7" s="2">
        <v>736</v>
      </c>
      <c r="D7" s="2" t="s">
        <v>22</v>
      </c>
      <c r="E7" s="2" t="s">
        <v>22</v>
      </c>
      <c r="F7" s="2" t="s">
        <v>22</v>
      </c>
      <c r="G7" s="2" t="s">
        <v>22</v>
      </c>
      <c r="H7" s="2" t="str">
        <f>IFERROR(VLOOKUP(C7,[1]Sheet1!$A:$D,4,0),"")</f>
        <v/>
      </c>
      <c r="I7" s="2" t="str">
        <f>IFERROR(VLOOKUP(C7,[1]Sheet1!$A:$D,2,0),"")</f>
        <v/>
      </c>
      <c r="J7" s="2" t="str">
        <f>IFERROR(VLOOKUP(C7,[1]Sheet1!$A:$D,3,0),"")</f>
        <v/>
      </c>
      <c r="K7" s="2" t="b">
        <f t="shared" si="0"/>
        <v>0</v>
      </c>
    </row>
    <row r="8" spans="1:11" ht="12.75" x14ac:dyDescent="0.2">
      <c r="A8" s="2">
        <v>7</v>
      </c>
      <c r="B8" s="2" t="s">
        <v>23</v>
      </c>
      <c r="C8" s="2">
        <v>754</v>
      </c>
      <c r="D8" s="2" t="s">
        <v>24</v>
      </c>
      <c r="E8" s="2" t="s">
        <v>24</v>
      </c>
      <c r="F8" s="2" t="s">
        <v>24</v>
      </c>
      <c r="G8" s="2" t="s">
        <v>24</v>
      </c>
      <c r="H8" s="2" t="str">
        <f>IFERROR(VLOOKUP(C8,[1]Sheet1!$A:$D,4,0),"")</f>
        <v/>
      </c>
      <c r="I8" s="2" t="str">
        <f>IFERROR(VLOOKUP(C8,[1]Sheet1!$A:$D,2,0),"")</f>
        <v/>
      </c>
      <c r="J8" s="2" t="str">
        <f>IFERROR(VLOOKUP(C8,[1]Sheet1!$A:$D,3,0),"")</f>
        <v/>
      </c>
      <c r="K8" s="2" t="b">
        <f t="shared" si="0"/>
        <v>0</v>
      </c>
    </row>
    <row r="9" spans="1:11" ht="12.75" x14ac:dyDescent="0.2">
      <c r="A9" s="2">
        <v>8</v>
      </c>
      <c r="B9" s="2" t="s">
        <v>25</v>
      </c>
      <c r="C9" s="2">
        <v>757</v>
      </c>
      <c r="D9" s="2" t="s">
        <v>26</v>
      </c>
      <c r="E9" s="2" t="s">
        <v>26</v>
      </c>
      <c r="F9" s="2" t="s">
        <v>26</v>
      </c>
      <c r="G9" s="2" t="s">
        <v>26</v>
      </c>
      <c r="H9" s="2" t="str">
        <f>IFERROR(VLOOKUP(C9,[1]Sheet1!$A:$D,4,0),"")</f>
        <v/>
      </c>
      <c r="I9" s="2" t="str">
        <f>IFERROR(VLOOKUP(C9,[1]Sheet1!$A:$D,2,0),"")</f>
        <v/>
      </c>
      <c r="J9" s="2" t="str">
        <f>IFERROR(VLOOKUP(C9,[1]Sheet1!$A:$D,3,0),"")</f>
        <v/>
      </c>
      <c r="K9" s="2" t="b">
        <f t="shared" si="0"/>
        <v>0</v>
      </c>
    </row>
    <row r="10" spans="1:11" ht="12.75" x14ac:dyDescent="0.2">
      <c r="A10" s="2">
        <v>9</v>
      </c>
      <c r="B10" s="2" t="s">
        <v>27</v>
      </c>
      <c r="C10" s="2">
        <v>760</v>
      </c>
      <c r="D10" s="2" t="s">
        <v>28</v>
      </c>
      <c r="E10" s="2" t="s">
        <v>28</v>
      </c>
      <c r="F10" s="2" t="s">
        <v>28</v>
      </c>
      <c r="G10" s="2" t="s">
        <v>28</v>
      </c>
      <c r="H10" s="2" t="str">
        <f>IFERROR(VLOOKUP(C10,[1]Sheet1!$A:$D,4,0),"")</f>
        <v/>
      </c>
      <c r="I10" s="2" t="str">
        <f>IFERROR(VLOOKUP(C10,[1]Sheet1!$A:$D,2,0),"")</f>
        <v/>
      </c>
      <c r="J10" s="2" t="str">
        <f>IFERROR(VLOOKUP(C10,[1]Sheet1!$A:$D,3,0),"")</f>
        <v/>
      </c>
      <c r="K10" s="2" t="b">
        <f t="shared" si="0"/>
        <v>0</v>
      </c>
    </row>
    <row r="11" spans="1:11" ht="12.75" x14ac:dyDescent="0.2">
      <c r="A11" s="2">
        <v>10</v>
      </c>
      <c r="B11" s="2" t="s">
        <v>29</v>
      </c>
      <c r="C11" s="2">
        <v>763</v>
      </c>
      <c r="D11" s="2" t="s">
        <v>30</v>
      </c>
      <c r="E11" s="2" t="s">
        <v>30</v>
      </c>
      <c r="F11" s="2" t="s">
        <v>30</v>
      </c>
      <c r="G11" s="2" t="s">
        <v>30</v>
      </c>
      <c r="H11" s="2" t="str">
        <f>IFERROR(VLOOKUP(C11,[1]Sheet1!$A:$D,4,0),"")</f>
        <v/>
      </c>
      <c r="I11" s="2" t="str">
        <f>IFERROR(VLOOKUP(C11,[1]Sheet1!$A:$D,2,0),"")</f>
        <v/>
      </c>
      <c r="J11" s="2" t="str">
        <f>IFERROR(VLOOKUP(C11,[1]Sheet1!$A:$D,3,0),"")</f>
        <v/>
      </c>
      <c r="K11" s="2" t="b">
        <f t="shared" si="0"/>
        <v>0</v>
      </c>
    </row>
    <row r="12" spans="1:11" ht="12.75" x14ac:dyDescent="0.2">
      <c r="A12" s="2">
        <v>11</v>
      </c>
      <c r="B12" s="2" t="s">
        <v>31</v>
      </c>
      <c r="C12" s="2">
        <v>598</v>
      </c>
      <c r="D12" s="2" t="s">
        <v>32</v>
      </c>
      <c r="E12" s="2">
        <v>110</v>
      </c>
      <c r="F12" s="2" t="s">
        <v>33</v>
      </c>
      <c r="G12" s="2" t="s">
        <v>32</v>
      </c>
      <c r="H12" s="2" t="str">
        <f>IFERROR(VLOOKUP(C12,[1]Sheet1!$A:$D,4,0),"")</f>
        <v>https://s129144.cdn.mytvnet.vn/vimages/08/81/10/02/23/3b/08102-pabcaustralia-channel-unkn.png</v>
      </c>
      <c r="I12" s="2" t="str">
        <f>IFERROR(VLOOKUP(C12,[1]Sheet1!$A:$D,2,0),"")</f>
        <v>ABC Australia</v>
      </c>
      <c r="J12" s="2" t="str">
        <f>IFERROR(VLOOKUP(C12,[1]Sheet1!$A:$D,3,0),"")</f>
        <v>ABC Autrailia (OTT)</v>
      </c>
      <c r="K12" s="2" t="b">
        <f t="shared" si="0"/>
        <v>1</v>
      </c>
    </row>
    <row r="13" spans="1:11" ht="12.75" x14ac:dyDescent="0.2">
      <c r="A13" s="2">
        <v>12</v>
      </c>
      <c r="B13" s="2" t="s">
        <v>34</v>
      </c>
      <c r="C13" s="2">
        <v>34</v>
      </c>
      <c r="D13" s="2" t="s">
        <v>35</v>
      </c>
      <c r="E13" s="2">
        <v>127</v>
      </c>
      <c r="F13" s="2" t="s">
        <v>36</v>
      </c>
      <c r="G13" s="2" t="s">
        <v>35</v>
      </c>
      <c r="H13" s="2" t="str">
        <f>IFERROR(VLOOKUP(C13,[1]Sheet1!$A:$D,4,0),"")</f>
        <v>https://s129144.cdn.mytvnet.vn/vimages/21/19/97/73/3e/e0/21973-pangiang2-channel-unkn.png</v>
      </c>
      <c r="I13" s="2" t="str">
        <f>IFERROR(VLOOKUP(C13,[1]Sheet1!$A:$D,2,0),"")</f>
        <v>An Giang 2</v>
      </c>
      <c r="J13" s="2" t="str">
        <f>IFERROR(VLOOKUP(C13,[1]Sheet1!$A:$D,3,0),"")</f>
        <v>rtp://232.84.3.81:11566</v>
      </c>
      <c r="K13" s="2" t="b">
        <f t="shared" si="0"/>
        <v>1</v>
      </c>
    </row>
    <row r="14" spans="1:11" ht="12.75" x14ac:dyDescent="0.2">
      <c r="A14" s="2">
        <v>13</v>
      </c>
      <c r="B14" s="2" t="s">
        <v>37</v>
      </c>
      <c r="C14" s="2">
        <v>589</v>
      </c>
      <c r="D14" s="2" t="s">
        <v>38</v>
      </c>
      <c r="E14" s="2">
        <v>80</v>
      </c>
      <c r="F14" s="2" t="s">
        <v>39</v>
      </c>
      <c r="G14" s="2" t="s">
        <v>40</v>
      </c>
      <c r="H14" s="2" t="str">
        <f>IFERROR(VLOOKUP(C14,[1]Sheet1!$A:$D,4,0),"")</f>
        <v>https://s129144.cdn.mytvnet.vn/vimages/c7/7d/df/fb/bc/c3/c7dfb-panimalplannethd-channel-unkn.png</v>
      </c>
      <c r="I14" s="2" t="str">
        <f>IFERROR(VLOOKUP(C14,[1]Sheet1!$A:$D,2,0),"")</f>
        <v>Animal Plannet HD</v>
      </c>
      <c r="J14" s="2">
        <f>IFERROR(VLOOKUP(C14,[1]Sheet1!$A:$D,3,0),"")</f>
        <v>0</v>
      </c>
      <c r="K14" s="2" t="b">
        <f t="shared" si="0"/>
        <v>1</v>
      </c>
    </row>
    <row r="15" spans="1:11" ht="12.75" x14ac:dyDescent="0.2">
      <c r="A15" s="2">
        <v>14</v>
      </c>
      <c r="B15" s="2" t="s">
        <v>41</v>
      </c>
      <c r="C15" s="2">
        <v>35</v>
      </c>
      <c r="D15" s="2" t="s">
        <v>42</v>
      </c>
      <c r="E15" s="2">
        <v>38</v>
      </c>
      <c r="F15" s="2" t="s">
        <v>43</v>
      </c>
      <c r="G15" s="2" t="s">
        <v>44</v>
      </c>
      <c r="H15" s="2" t="str">
        <f>IFERROR(VLOOKUP(C15,[1]Sheet1!$A:$D,4,0),"")</f>
        <v>https://s129144.cdn.mytvnet.vn/vimages/ad/da/a5/5a/a6/69/ada5a-pantv-channel-unkn.png</v>
      </c>
      <c r="I15" s="2" t="str">
        <f>IFERROR(VLOOKUP(C15,[1]Sheet1!$A:$D,2,0),"")</f>
        <v>ANTV</v>
      </c>
      <c r="J15" s="2" t="str">
        <f>IFERROR(VLOOKUP(C15,[1]Sheet1!$A:$D,3,0),"")</f>
        <v>rtp://232.84.1.212:9246</v>
      </c>
      <c r="K15" s="2" t="b">
        <f t="shared" si="0"/>
        <v>1</v>
      </c>
    </row>
    <row r="16" spans="1:11" ht="12.75" x14ac:dyDescent="0.2">
      <c r="A16" s="2">
        <v>15</v>
      </c>
      <c r="B16" s="2" t="s">
        <v>45</v>
      </c>
      <c r="C16" s="2">
        <v>63</v>
      </c>
      <c r="D16" s="2" t="s">
        <v>46</v>
      </c>
      <c r="E16" s="2">
        <v>111</v>
      </c>
      <c r="F16" s="2" t="s">
        <v>47</v>
      </c>
      <c r="G16" s="2" t="s">
        <v>46</v>
      </c>
      <c r="H16" s="2" t="str">
        <f>IFERROR(VLOOKUP(C16,[1]Sheet1!$A:$D,4,0),"")</f>
        <v>https://s129144.cdn.mytvnet.vn/vimages/48/8c/cf/f9/9e/e6/48cf9-parirang-channel-unkn.png</v>
      </c>
      <c r="I16" s="2" t="str">
        <f>IFERROR(VLOOKUP(C16,[1]Sheet1!$A:$D,2,0),"")</f>
        <v>Arirang</v>
      </c>
      <c r="J16" s="2" t="str">
        <f>IFERROR(VLOOKUP(C16,[1]Sheet1!$A:$D,3,0),"")</f>
        <v>rtp://232.84.1.43:8238</v>
      </c>
      <c r="K16" s="2" t="b">
        <f t="shared" si="0"/>
        <v>1</v>
      </c>
    </row>
    <row r="17" spans="1:11" ht="12.75" x14ac:dyDescent="0.2">
      <c r="A17" s="2">
        <v>16</v>
      </c>
      <c r="B17" s="2" t="s">
        <v>48</v>
      </c>
      <c r="C17" s="2">
        <v>298</v>
      </c>
      <c r="D17" s="2" t="s">
        <v>49</v>
      </c>
      <c r="E17" s="2">
        <v>88</v>
      </c>
      <c r="F17" s="2" t="s">
        <v>50</v>
      </c>
      <c r="G17" s="2" t="s">
        <v>51</v>
      </c>
      <c r="H17" s="2" t="str">
        <f>IFERROR(VLOOKUP(C17,[1]Sheet1!$A:$D,4,0),"")</f>
        <v>https://s129144.cdn.mytvnet.vn/vimages/33/33/32/20/08/8d/33320-pasianfoodnetworkhd-channel-unkn.png</v>
      </c>
      <c r="I17" s="2" t="str">
        <f>IFERROR(VLOOKUP(C17,[1]Sheet1!$A:$D,2,0),"")</f>
        <v>Asian Food Network (HD)</v>
      </c>
      <c r="J17" s="2" t="str">
        <f>IFERROR(VLOOKUP(C17,[1]Sheet1!$A:$D,3,0),"")</f>
        <v>rtp://232.84.2.129:9570</v>
      </c>
      <c r="K17" s="2" t="b">
        <f t="shared" si="0"/>
        <v>1</v>
      </c>
    </row>
    <row r="18" spans="1:11" ht="12.75" x14ac:dyDescent="0.2">
      <c r="A18" s="2">
        <v>17</v>
      </c>
      <c r="B18" s="2" t="s">
        <v>52</v>
      </c>
      <c r="C18" s="2">
        <v>590</v>
      </c>
      <c r="D18" s="2" t="s">
        <v>53</v>
      </c>
      <c r="E18" s="2">
        <v>75</v>
      </c>
      <c r="F18" s="2" t="s">
        <v>54</v>
      </c>
      <c r="G18" s="2" t="s">
        <v>53</v>
      </c>
      <c r="H18" s="2" t="str">
        <f>IFERROR(VLOOKUP(C18,[1]Sheet1!$A:$D,4,0),"")</f>
        <v>https://s129144.cdn.mytvnet.vn/vimages/68/8a/a7/70/06/6f/68a70-paxnhd-channel-unkn.png</v>
      </c>
      <c r="I18" s="2" t="str">
        <f>IFERROR(VLOOKUP(C18,[1]Sheet1!$A:$D,2,0),"")</f>
        <v>AXN HD</v>
      </c>
      <c r="J18" s="2">
        <f>IFERROR(VLOOKUP(C18,[1]Sheet1!$A:$D,3,0),"")</f>
        <v>0</v>
      </c>
      <c r="K18" s="2" t="b">
        <f t="shared" si="0"/>
        <v>1</v>
      </c>
    </row>
    <row r="19" spans="1:11" ht="12.75" x14ac:dyDescent="0.2">
      <c r="A19" s="2">
        <v>18</v>
      </c>
      <c r="B19" s="2" t="s">
        <v>55</v>
      </c>
      <c r="C19" s="2">
        <v>183</v>
      </c>
      <c r="D19" s="2" t="s">
        <v>56</v>
      </c>
      <c r="E19" s="2">
        <v>128</v>
      </c>
      <c r="F19" s="2" t="s">
        <v>57</v>
      </c>
      <c r="G19" s="2" t="s">
        <v>56</v>
      </c>
      <c r="H19" s="2" t="str">
        <f>IFERROR(VLOOKUP(C19,[1]Sheet1!$A:$D,4,0),"")</f>
        <v>https://s129144.cdn.mytvnet.vn/vimages/22/2e/e6/6e/ea/ad/22e6e-pbcninh-channel-unkn.png</v>
      </c>
      <c r="I19" s="2" t="str">
        <f>IFERROR(VLOOKUP(C19,[1]Sheet1!$A:$D,2,0),"")</f>
        <v>Bắc Ninh</v>
      </c>
      <c r="J19" s="2" t="str">
        <f>IFERROR(VLOOKUP(C19,[1]Sheet1!$A:$D,3,0),"")</f>
        <v>rtp://232.84.3.100:11452</v>
      </c>
      <c r="K19" s="2" t="b">
        <f t="shared" si="0"/>
        <v>1</v>
      </c>
    </row>
    <row r="20" spans="1:11" ht="12.75" x14ac:dyDescent="0.2">
      <c r="A20" s="2">
        <v>19</v>
      </c>
      <c r="B20" s="2" t="s">
        <v>58</v>
      </c>
      <c r="C20" s="2">
        <v>182</v>
      </c>
      <c r="D20" s="2" t="s">
        <v>59</v>
      </c>
      <c r="E20" s="2">
        <v>129</v>
      </c>
      <c r="F20" s="2" t="s">
        <v>60</v>
      </c>
      <c r="G20" s="2" t="s">
        <v>61</v>
      </c>
      <c r="H20" s="2" t="str">
        <f>IFERROR(VLOOKUP(C20,[1]Sheet1!$A:$D,4,0),"")</f>
        <v>https://s129144.cdn.mytvnet.vn/vimages/d8/87/7c/ce/ef/f2/d87ce-pbckntv-channel-unkn.png</v>
      </c>
      <c r="I20" s="2" t="str">
        <f>IFERROR(VLOOKUP(C20,[1]Sheet1!$A:$D,2,0),"")</f>
        <v>Bắc Kạn TV</v>
      </c>
      <c r="J20" s="2" t="str">
        <f>IFERROR(VLOOKUP(C20,[1]Sheet1!$A:$D,3,0),"")</f>
        <v>rtp://232.84.3.94:11488</v>
      </c>
      <c r="K20" s="2" t="b">
        <f t="shared" si="0"/>
        <v>1</v>
      </c>
    </row>
    <row r="21" spans="1:11" ht="12.75" x14ac:dyDescent="0.2">
      <c r="A21" s="2">
        <v>20</v>
      </c>
      <c r="B21" s="2" t="s">
        <v>62</v>
      </c>
      <c r="C21" s="2">
        <v>180</v>
      </c>
      <c r="D21" s="2" t="s">
        <v>63</v>
      </c>
      <c r="E21" s="2">
        <v>131</v>
      </c>
      <c r="F21" s="2" t="s">
        <v>64</v>
      </c>
      <c r="G21" s="2" t="s">
        <v>65</v>
      </c>
      <c r="H21" s="2" t="str">
        <f>IFERROR(VLOOKUP(C21,[1]Sheet1!$A:$D,4,0),"")</f>
        <v>https://s129144.cdn.mytvnet.vn/vimages/6b/b9/95/5c/c6/6a/6b95c-pbcliutv-channel-unkn.png</v>
      </c>
      <c r="I21" s="2" t="str">
        <f>IFERROR(VLOOKUP(C21,[1]Sheet1!$A:$D,2,0),"")</f>
        <v>Bạc Liêu TV</v>
      </c>
      <c r="J21" s="2" t="str">
        <f>IFERROR(VLOOKUP(C21,[1]Sheet1!$A:$D,3,0),"")</f>
        <v>rtp://232.84.2.116:8766</v>
      </c>
      <c r="K21" s="2" t="b">
        <f t="shared" si="0"/>
        <v>1</v>
      </c>
    </row>
    <row r="22" spans="1:11" ht="12.75" x14ac:dyDescent="0.2">
      <c r="A22" s="2">
        <v>21</v>
      </c>
      <c r="B22" s="2" t="s">
        <v>66</v>
      </c>
      <c r="C22" s="2">
        <v>360</v>
      </c>
      <c r="D22" s="2" t="s">
        <v>67</v>
      </c>
      <c r="E22" s="2">
        <v>130</v>
      </c>
      <c r="F22" s="2" t="s">
        <v>57</v>
      </c>
      <c r="G22" s="2" t="s">
        <v>67</v>
      </c>
      <c r="H22" s="2" t="str">
        <f>IFERROR(VLOOKUP(C22,[1]Sheet1!$A:$D,4,0),"")</f>
        <v>https://s129144.cdn.mytvnet.vn/vimages/e5/5f/ff/ff/f4/4c/e5fff-pbcninhhd-channel-unkn.png</v>
      </c>
      <c r="I22" s="2" t="str">
        <f>IFERROR(VLOOKUP(C22,[1]Sheet1!$A:$D,2,0),"")</f>
        <v>Bắc Ninh HD</v>
      </c>
      <c r="J22" s="2" t="str">
        <f>IFERROR(VLOOKUP(C22,[1]Sheet1!$A:$D,3,0),"")</f>
        <v>rtp://232.84.2.245:10506</v>
      </c>
      <c r="K22" s="2" t="b">
        <f t="shared" si="0"/>
        <v>1</v>
      </c>
    </row>
    <row r="23" spans="1:11" ht="12.75" x14ac:dyDescent="0.2">
      <c r="A23" s="2">
        <v>22</v>
      </c>
      <c r="B23" s="2" t="s">
        <v>68</v>
      </c>
      <c r="C23" s="2">
        <v>167</v>
      </c>
      <c r="D23" s="2" t="s">
        <v>69</v>
      </c>
      <c r="E23" s="2">
        <v>132</v>
      </c>
      <c r="F23" s="2" t="s">
        <v>70</v>
      </c>
      <c r="G23" s="2" t="s">
        <v>71</v>
      </c>
      <c r="H23" s="2" t="str">
        <f>IFERROR(VLOOKUP(C23,[1]Sheet1!$A:$D,4,0),"")</f>
        <v>https://s129144.cdn.mytvnet.vn/vimages/c2/2b/be/ec/ca/a7/c2bec-pbntretv-channel-unkn.png</v>
      </c>
      <c r="I23" s="2" t="str">
        <f>IFERROR(VLOOKUP(C23,[1]Sheet1!$A:$D,2,0),"")</f>
        <v>Bến Tre TV</v>
      </c>
      <c r="J23" s="2" t="str">
        <f>IFERROR(VLOOKUP(C23,[1]Sheet1!$A:$D,3,0),"")</f>
        <v>rtp://232.84.3.95:11482</v>
      </c>
      <c r="K23" s="2" t="b">
        <f t="shared" si="0"/>
        <v>1</v>
      </c>
    </row>
    <row r="24" spans="1:11" ht="12.75" x14ac:dyDescent="0.2">
      <c r="A24" s="2">
        <v>23</v>
      </c>
      <c r="B24" s="2" t="s">
        <v>72</v>
      </c>
      <c r="C24" s="2">
        <v>170</v>
      </c>
      <c r="D24" s="2" t="s">
        <v>73</v>
      </c>
      <c r="E24" s="2">
        <v>133</v>
      </c>
      <c r="F24" s="2" t="s">
        <v>74</v>
      </c>
      <c r="G24" s="2" t="s">
        <v>75</v>
      </c>
      <c r="H24" s="2" t="str">
        <f>IFERROR(VLOOKUP(C24,[1]Sheet1!$A:$D,4,0),"")</f>
        <v>https://s129144.cdn.mytvnet.vn/vimages/e1/14/44/41/15/5d/e1441-pbnhnhtv-channel-unkn.png</v>
      </c>
      <c r="I24" s="2" t="str">
        <f>IFERROR(VLOOKUP(C24,[1]Sheet1!$A:$D,2,0),"")</f>
        <v>Bình Định TV</v>
      </c>
      <c r="J24" s="2" t="str">
        <f>IFERROR(VLOOKUP(C24,[1]Sheet1!$A:$D,3,0),"")</f>
        <v>rtp://232.84.2.88:8784</v>
      </c>
      <c r="K24" s="2" t="b">
        <f t="shared" si="0"/>
        <v>1</v>
      </c>
    </row>
    <row r="25" spans="1:11" ht="12.75" x14ac:dyDescent="0.2">
      <c r="A25" s="2">
        <v>24</v>
      </c>
      <c r="B25" s="2" t="s">
        <v>76</v>
      </c>
      <c r="C25" s="2">
        <v>402</v>
      </c>
      <c r="D25" s="2" t="s">
        <v>77</v>
      </c>
      <c r="E25" s="2">
        <v>134</v>
      </c>
      <c r="F25" s="2" t="s">
        <v>78</v>
      </c>
      <c r="G25" s="2" t="s">
        <v>79</v>
      </c>
      <c r="H25" s="2" t="str">
        <f>IFERROR(VLOOKUP(C25,[1]Sheet1!$A:$D,4,0),"")</f>
        <v>https://s129144.cdn.mytvnet.vn/vimages/ef/f4/46/67/7b/b6/ef467-pbnhdng1hd-channel-unkn.png</v>
      </c>
      <c r="I25" s="2" t="str">
        <f>IFERROR(VLOOKUP(C25,[1]Sheet1!$A:$D,2,0),"")</f>
        <v>Bình Dương 1 HD</v>
      </c>
      <c r="J25" s="2" t="str">
        <f>IFERROR(VLOOKUP(C25,[1]Sheet1!$A:$D,3,0),"")</f>
        <v>rtp://232.84.3.109:10750</v>
      </c>
      <c r="K25" s="2" t="b">
        <f t="shared" si="0"/>
        <v>1</v>
      </c>
    </row>
    <row r="26" spans="1:11" ht="12.75" x14ac:dyDescent="0.2">
      <c r="A26" s="2">
        <v>25</v>
      </c>
      <c r="B26" s="2" t="s">
        <v>80</v>
      </c>
      <c r="C26" s="2">
        <v>38</v>
      </c>
      <c r="D26" s="2" t="s">
        <v>81</v>
      </c>
      <c r="E26" s="2">
        <v>135</v>
      </c>
      <c r="F26" s="2" t="s">
        <v>82</v>
      </c>
      <c r="G26" s="2" t="s">
        <v>81</v>
      </c>
      <c r="H26" s="2" t="str">
        <f>IFERROR(VLOOKUP(C26,[1]Sheet1!$A:$D,4,0),"")</f>
        <v/>
      </c>
      <c r="I26" s="2" t="str">
        <f>IFERROR(VLOOKUP(C26,[1]Sheet1!$A:$D,2,0),"")</f>
        <v/>
      </c>
      <c r="J26" s="2" t="str">
        <f>IFERROR(VLOOKUP(C26,[1]Sheet1!$A:$D,3,0),"")</f>
        <v/>
      </c>
      <c r="K26" s="2" t="b">
        <f t="shared" si="0"/>
        <v>0</v>
      </c>
    </row>
    <row r="27" spans="1:11" ht="12.75" x14ac:dyDescent="0.2">
      <c r="A27" s="2">
        <v>26</v>
      </c>
      <c r="B27" s="2" t="s">
        <v>83</v>
      </c>
      <c r="C27" s="2">
        <v>119</v>
      </c>
      <c r="D27" s="2" t="s">
        <v>84</v>
      </c>
      <c r="E27" s="2">
        <v>137</v>
      </c>
      <c r="F27" s="2" t="s">
        <v>85</v>
      </c>
      <c r="G27" s="2" t="s">
        <v>86</v>
      </c>
      <c r="H27" s="2" t="str">
        <f>IFERROR(VLOOKUP(C27,[1]Sheet1!$A:$D,4,0),"")</f>
        <v>https://s129144.cdn.mytvnet.vn/vimages/4f/f8/82/2f/f5/5e/4f82f-pbnhphc-channel-unkn.png</v>
      </c>
      <c r="I27" s="2" t="str">
        <f>IFERROR(VLOOKUP(C27,[1]Sheet1!$A:$D,2,0),"")</f>
        <v>Bình Phước</v>
      </c>
      <c r="J27" s="2" t="str">
        <f>IFERROR(VLOOKUP(C27,[1]Sheet1!$A:$D,3,0),"")</f>
        <v>rtp://232.84.2.90:8814</v>
      </c>
      <c r="K27" s="2" t="b">
        <f t="shared" si="0"/>
        <v>1</v>
      </c>
    </row>
    <row r="28" spans="1:11" ht="12.75" x14ac:dyDescent="0.2">
      <c r="A28" s="2">
        <v>27</v>
      </c>
      <c r="B28" s="2" t="s">
        <v>87</v>
      </c>
      <c r="C28" s="2">
        <v>125</v>
      </c>
      <c r="D28" s="2" t="s">
        <v>88</v>
      </c>
      <c r="E28" s="2">
        <v>136</v>
      </c>
      <c r="F28" s="2" t="s">
        <v>89</v>
      </c>
      <c r="G28" s="2" t="s">
        <v>88</v>
      </c>
      <c r="H28" s="2" t="str">
        <f>IFERROR(VLOOKUP(C28,[1]Sheet1!$A:$D,4,0),"")</f>
        <v>https://s129144.cdn.mytvnet.vn/vimages/88/85/59/96/63/3d/88596-plmngtv2-channel-unkn.png</v>
      </c>
      <c r="I28" s="2" t="str">
        <f>IFERROR(VLOOKUP(C28,[1]Sheet1!$A:$D,2,0),"")</f>
        <v>Lâm Đồng TV2</v>
      </c>
      <c r="J28" s="2" t="str">
        <f>IFERROR(VLOOKUP(C28,[1]Sheet1!$A:$D,3,0),"")</f>
        <v>rtp://232.84.3.87:11530</v>
      </c>
      <c r="K28" s="2" t="b">
        <f t="shared" si="0"/>
        <v>1</v>
      </c>
    </row>
    <row r="29" spans="1:11" ht="12.75" x14ac:dyDescent="0.2">
      <c r="A29" s="2">
        <v>28</v>
      </c>
      <c r="B29" s="2" t="s">
        <v>90</v>
      </c>
      <c r="C29" s="2">
        <v>105</v>
      </c>
      <c r="D29" s="2" t="s">
        <v>91</v>
      </c>
      <c r="E29" s="2">
        <v>101</v>
      </c>
      <c r="F29" s="2" t="s">
        <v>92</v>
      </c>
      <c r="G29" s="2" t="s">
        <v>93</v>
      </c>
      <c r="H29" s="2" t="str">
        <f>IFERROR(VLOOKUP(C29,[1]Sheet1!$A:$D,4,0),"")</f>
        <v>https://s129144.cdn.mytvnet.vn/vimages/e6/6b/b5/56/68/84/e6b56-pboxhitshd-channel-unkn.png</v>
      </c>
      <c r="I29" s="2" t="str">
        <f>IFERROR(VLOOKUP(C29,[1]Sheet1!$A:$D,2,0),"")</f>
        <v>Box Hits (HD)</v>
      </c>
      <c r="J29" s="2" t="str">
        <f>IFERROR(VLOOKUP(C29,[1]Sheet1!$A:$D,3,0),"")</f>
        <v>rtp://232.84.1.77:8436</v>
      </c>
      <c r="K29" s="2" t="b">
        <f t="shared" si="0"/>
        <v>1</v>
      </c>
    </row>
    <row r="30" spans="1:11" ht="12.75" x14ac:dyDescent="0.2">
      <c r="A30" s="2">
        <v>29</v>
      </c>
      <c r="B30" s="2" t="s">
        <v>94</v>
      </c>
      <c r="C30" s="2">
        <v>115</v>
      </c>
      <c r="D30" s="2" t="s">
        <v>95</v>
      </c>
      <c r="E30" s="2">
        <v>907</v>
      </c>
      <c r="F30" s="2" t="s">
        <v>96</v>
      </c>
      <c r="G30" s="2" t="s">
        <v>97</v>
      </c>
      <c r="H30" s="2" t="str">
        <f>IFERROR(VLOOKUP(C30,[1]Sheet1!$A:$D,4,0),"")</f>
        <v>https://s129144.cdn.mytvnet.vn/vimages/cf/f0/0b/b7/75/51/cf0b7-pbtv6shopping24h-channel-unkn.png</v>
      </c>
      <c r="I30" s="2" t="str">
        <f>IFERROR(VLOOKUP(C30,[1]Sheet1!$A:$D,2,0),"")</f>
        <v>BTV6 - Shopping 24h</v>
      </c>
      <c r="J30" s="2" t="str">
        <f>IFERROR(VLOOKUP(C30,[1]Sheet1!$A:$D,3,0),"")</f>
        <v>rtp://232.84.2.197:10966</v>
      </c>
      <c r="K30" s="2" t="b">
        <f t="shared" si="0"/>
        <v>1</v>
      </c>
    </row>
    <row r="31" spans="1:11" ht="12.75" x14ac:dyDescent="0.2">
      <c r="A31" s="2">
        <v>30</v>
      </c>
      <c r="B31" s="2" t="s">
        <v>98</v>
      </c>
      <c r="C31" s="2">
        <v>479</v>
      </c>
      <c r="D31" s="2" t="s">
        <v>99</v>
      </c>
      <c r="E31" s="2">
        <v>126</v>
      </c>
      <c r="F31" s="2" t="s">
        <v>100</v>
      </c>
      <c r="G31" s="2" t="s">
        <v>101</v>
      </c>
      <c r="H31" s="2" t="str">
        <f>IFERROR(VLOOKUP(C31,[1]Sheet1!$A:$D,4,0),"")</f>
        <v>https://s129144.cdn.mytvnet.vn/vimages/28/82/24/44/4e/e7/28244-pbtv9anvintv-channel-unkn.png</v>
      </c>
      <c r="I31" s="2" t="str">
        <f>IFERROR(VLOOKUP(C31,[1]Sheet1!$A:$D,2,0),"")</f>
        <v>BTV9 - An Viên TV</v>
      </c>
      <c r="J31" s="2" t="str">
        <f>IFERROR(VLOOKUP(C31,[1]Sheet1!$A:$D,3,0),"")</f>
        <v>rtp://232.84.3.199:11116</v>
      </c>
      <c r="K31" s="2" t="b">
        <f t="shared" si="0"/>
        <v>1</v>
      </c>
    </row>
    <row r="32" spans="1:11" ht="12.75" x14ac:dyDescent="0.2">
      <c r="A32" s="2">
        <v>31</v>
      </c>
      <c r="B32" s="2" t="s">
        <v>102</v>
      </c>
      <c r="C32" s="2">
        <v>123</v>
      </c>
      <c r="D32" s="2" t="s">
        <v>103</v>
      </c>
      <c r="E32" s="2">
        <v>139</v>
      </c>
      <c r="F32" s="2" t="s">
        <v>104</v>
      </c>
      <c r="G32" s="2" t="s">
        <v>103</v>
      </c>
      <c r="H32" s="2" t="str">
        <f>IFERROR(VLOOKUP(C32,[1]Sheet1!$A:$D,4,0),"")</f>
        <v>https://s129144.cdn.mytvnet.vn/vimages/bf/f6/69/9e/e0/0b/bf69e-pcmau-channel-unkn.png</v>
      </c>
      <c r="I32" s="2" t="str">
        <f>IFERROR(VLOOKUP(C32,[1]Sheet1!$A:$D,2,0),"")</f>
        <v>Cà Mau</v>
      </c>
      <c r="J32" s="2" t="str">
        <f>IFERROR(VLOOKUP(C32,[1]Sheet1!$A:$D,3,0),"")</f>
        <v>rtp://232.84.2.117:8826</v>
      </c>
      <c r="K32" s="2" t="b">
        <f t="shared" si="0"/>
        <v>1</v>
      </c>
    </row>
    <row r="33" spans="1:11" ht="12.75" x14ac:dyDescent="0.2">
      <c r="A33" s="2">
        <v>32</v>
      </c>
      <c r="B33" s="2" t="s">
        <v>105</v>
      </c>
      <c r="C33" s="2">
        <v>39</v>
      </c>
      <c r="D33" s="2" t="s">
        <v>106</v>
      </c>
      <c r="E33" s="2">
        <v>140</v>
      </c>
      <c r="F33" s="2" t="s">
        <v>107</v>
      </c>
      <c r="G33" s="2" t="s">
        <v>106</v>
      </c>
      <c r="H33" s="2" t="str">
        <f>IFERROR(VLOOKUP(C33,[1]Sheet1!$A:$D,4,0),"")</f>
        <v>https://s129144.cdn.mytvnet.vn/vimages/88/87/79/93/30/09/88793-pcnthtv1-channel-unkn.png</v>
      </c>
      <c r="I33" s="2" t="str">
        <f>IFERROR(VLOOKUP(C33,[1]Sheet1!$A:$D,2,0),"")</f>
        <v>Cần Thơ TV1</v>
      </c>
      <c r="J33" s="2" t="str">
        <f>IFERROR(VLOOKUP(C33,[1]Sheet1!$A:$D,3,0),"")</f>
        <v>rtp://232.84.2.118:8838</v>
      </c>
      <c r="K33" s="2" t="b">
        <f t="shared" si="0"/>
        <v>1</v>
      </c>
    </row>
    <row r="34" spans="1:11" ht="12.75" x14ac:dyDescent="0.2">
      <c r="A34" s="2">
        <v>33</v>
      </c>
      <c r="B34" s="2" t="s">
        <v>108</v>
      </c>
      <c r="C34" s="2">
        <v>141</v>
      </c>
      <c r="D34" s="2" t="s">
        <v>109</v>
      </c>
      <c r="E34" s="2">
        <v>141</v>
      </c>
      <c r="F34" s="2" t="s">
        <v>110</v>
      </c>
      <c r="G34" s="2" t="s">
        <v>111</v>
      </c>
      <c r="H34" s="2" t="str">
        <f>IFERROR(VLOOKUP(C34,[1]Sheet1!$A:$D,4,0),"")</f>
        <v>https://s129144.cdn.mytvnet.vn/vimages/a0/0d/d4/4e/e8/8d/a0d4e-pcaobngtv-channel-unkn.png</v>
      </c>
      <c r="I34" s="2" t="str">
        <f>IFERROR(VLOOKUP(C34,[1]Sheet1!$A:$D,2,0),"")</f>
        <v>Cao Bằng TV</v>
      </c>
      <c r="J34" s="2" t="str">
        <f>IFERROR(VLOOKUP(C34,[1]Sheet1!$A:$D,3,0),"")</f>
        <v>rtp://232.84.3.202:11134</v>
      </c>
      <c r="K34" s="2" t="b">
        <f t="shared" ref="K34:K65" si="1">D34=I34</f>
        <v>1</v>
      </c>
    </row>
    <row r="35" spans="1:11" ht="12.75" x14ac:dyDescent="0.2">
      <c r="A35" s="2">
        <v>34</v>
      </c>
      <c r="B35" s="2" t="s">
        <v>112</v>
      </c>
      <c r="C35" s="2">
        <v>592</v>
      </c>
      <c r="D35" s="2" t="s">
        <v>113</v>
      </c>
      <c r="E35" s="2">
        <v>91</v>
      </c>
      <c r="F35" s="2" t="s">
        <v>114</v>
      </c>
      <c r="G35" s="2" t="s">
        <v>115</v>
      </c>
      <c r="H35" s="2" t="str">
        <f>IFERROR(VLOOKUP(C35,[1]Sheet1!$A:$D,4,0),"")</f>
        <v>https://s129144.cdn.mytvnet.vn/vimages/6f/ff/f4/47/73/3b/6ff47-pcartoonnetworkhd-channel-unkn.png</v>
      </c>
      <c r="I35" s="2" t="str">
        <f>IFERROR(VLOOKUP(C35,[1]Sheet1!$A:$D,2,0),"")</f>
        <v>CartoonNetwork HD</v>
      </c>
      <c r="J35" s="2">
        <f>IFERROR(VLOOKUP(C35,[1]Sheet1!$A:$D,3,0),"")</f>
        <v>0</v>
      </c>
      <c r="K35" s="2" t="b">
        <f t="shared" si="1"/>
        <v>1</v>
      </c>
    </row>
    <row r="36" spans="1:11" ht="12.75" x14ac:dyDescent="0.2">
      <c r="A36" s="2">
        <v>35</v>
      </c>
      <c r="B36" s="2" t="s">
        <v>116</v>
      </c>
      <c r="C36" s="2">
        <v>366</v>
      </c>
      <c r="D36" s="2" t="s">
        <v>117</v>
      </c>
      <c r="E36" s="2">
        <v>908</v>
      </c>
      <c r="F36" s="2" t="s">
        <v>118</v>
      </c>
      <c r="G36" s="2" t="s">
        <v>117</v>
      </c>
      <c r="H36" s="2" t="str">
        <f>IFERROR(VLOOKUP(C36,[1]Sheet1!$A:$D,4,0),"")</f>
        <v>https://s129144.cdn.mytvnet.vn/vimages/69/91/15/50/06/60/69150-pchannelnewsasiahd-channel-unkn.png</v>
      </c>
      <c r="I36" s="2" t="str">
        <f>IFERROR(VLOOKUP(C36,[1]Sheet1!$A:$D,2,0),"")</f>
        <v>Channel News Asia HD</v>
      </c>
      <c r="J36" s="2" t="str">
        <f>IFERROR(VLOOKUP(C36,[1]Sheet1!$A:$D,3,0),"")</f>
        <v>rtp://232.84.3.155:10540</v>
      </c>
      <c r="K36" s="2" t="b">
        <f t="shared" si="1"/>
        <v>1</v>
      </c>
    </row>
    <row r="37" spans="1:11" ht="12.75" x14ac:dyDescent="0.2">
      <c r="A37" s="2">
        <v>36</v>
      </c>
      <c r="B37" s="2" t="s">
        <v>119</v>
      </c>
      <c r="C37" s="2">
        <v>523</v>
      </c>
      <c r="D37" s="2" t="s">
        <v>120</v>
      </c>
      <c r="E37" s="2">
        <v>79</v>
      </c>
      <c r="F37" s="2" t="s">
        <v>121</v>
      </c>
      <c r="G37" s="2" t="s">
        <v>122</v>
      </c>
      <c r="H37" s="2" t="str">
        <f>IFERROR(VLOOKUP(C37,[1]Sheet1!$A:$D,4,0),"")</f>
        <v>https://s129144.cdn.mytvnet.vn/vimages/cd/de/e3/3a/a3/33/cde3a-pcinemaworldhd-channel-unkn.png</v>
      </c>
      <c r="I37" s="2" t="str">
        <f>IFERROR(VLOOKUP(C37,[1]Sheet1!$A:$D,2,0),"")</f>
        <v>CINEMAWORLD HD</v>
      </c>
      <c r="J37" s="2" t="str">
        <f>IFERROR(VLOOKUP(C37,[1]Sheet1!$A:$D,3,0),"")</f>
        <v>rtp://232.84.3.50:11752</v>
      </c>
      <c r="K37" s="2" t="b">
        <f t="shared" si="1"/>
        <v>1</v>
      </c>
    </row>
    <row r="38" spans="1:11" ht="12.75" x14ac:dyDescent="0.2">
      <c r="A38" s="2">
        <v>37</v>
      </c>
      <c r="B38" s="2" t="s">
        <v>123</v>
      </c>
      <c r="C38" s="2">
        <v>358</v>
      </c>
      <c r="D38" s="2" t="s">
        <v>124</v>
      </c>
      <c r="E38" s="2">
        <v>909</v>
      </c>
      <c r="F38" s="2" t="s">
        <v>125</v>
      </c>
      <c r="G38" s="2" t="s">
        <v>124</v>
      </c>
      <c r="H38" s="2" t="str">
        <f>IFERROR(VLOOKUP(C38,[1]Sheet1!$A:$D,4,0),"")</f>
        <v>https://s129144.cdn.mytvnet.vn/vimages/58/81/1a/a0/03/36/581a0-pcnbc-channel-unkn.png</v>
      </c>
      <c r="I38" s="2" t="str">
        <f>IFERROR(VLOOKUP(C38,[1]Sheet1!$A:$D,2,0),"")</f>
        <v>CNBC</v>
      </c>
      <c r="J38" s="2" t="str">
        <f>IFERROR(VLOOKUP(C38,[1]Sheet1!$A:$D,3,0),"")</f>
        <v>rtp://232.84.3.179:10488</v>
      </c>
      <c r="K38" s="2" t="b">
        <f t="shared" si="1"/>
        <v>1</v>
      </c>
    </row>
    <row r="39" spans="1:11" ht="12.75" x14ac:dyDescent="0.2">
      <c r="A39" s="2">
        <v>38</v>
      </c>
      <c r="B39" s="2" t="s">
        <v>126</v>
      </c>
      <c r="C39" s="2">
        <v>593</v>
      </c>
      <c r="D39" s="2" t="s">
        <v>127</v>
      </c>
      <c r="E39" s="2">
        <v>113</v>
      </c>
      <c r="F39" s="2" t="s">
        <v>128</v>
      </c>
      <c r="G39" s="2" t="s">
        <v>129</v>
      </c>
      <c r="H39" s="2" t="str">
        <f>IFERROR(VLOOKUP(C39,[1]Sheet1!$A:$D,4,0),"")</f>
        <v>https://s129144.cdn.mytvnet.vn/vimages/93/3c/c3/3a/ab/be/93c3a-pcnnhd-channel-unkn.png</v>
      </c>
      <c r="I39" s="2" t="str">
        <f>IFERROR(VLOOKUP(C39,[1]Sheet1!$A:$D,2,0),"")</f>
        <v>CNN HD</v>
      </c>
      <c r="J39" s="2" t="str">
        <f>IFERROR(VLOOKUP(C39,[1]Sheet1!$A:$D,3,0),"")</f>
        <v>vstv466</v>
      </c>
      <c r="K39" s="2" t="b">
        <f t="shared" si="1"/>
        <v>1</v>
      </c>
    </row>
    <row r="40" spans="1:11" ht="12.75" x14ac:dyDescent="0.2">
      <c r="A40" s="2">
        <v>39</v>
      </c>
      <c r="B40" s="2" t="s">
        <v>130</v>
      </c>
      <c r="C40" s="2">
        <v>90</v>
      </c>
      <c r="D40" s="2" t="s">
        <v>131</v>
      </c>
      <c r="E40" s="2">
        <v>142</v>
      </c>
      <c r="F40" s="2" t="s">
        <v>132</v>
      </c>
      <c r="G40" s="2" t="s">
        <v>131</v>
      </c>
      <c r="H40" s="2" t="str">
        <f>IFERROR(VLOOKUP(C40,[1]Sheet1!$A:$D,4,0),"")</f>
        <v>https://s129144.cdn.mytvnet.vn/vimages/41/13/34/4b/ba/aa/4134b-pnng1-channel-unkn.png</v>
      </c>
      <c r="I40" s="2" t="str">
        <f>IFERROR(VLOOKUP(C40,[1]Sheet1!$A:$D,2,0),"")</f>
        <v>Đà Nẵng 1</v>
      </c>
      <c r="J40" s="2" t="str">
        <f>IFERROR(VLOOKUP(C40,[1]Sheet1!$A:$D,3,0),"")</f>
        <v>rtp://232.84.1.146:8850</v>
      </c>
      <c r="K40" s="2" t="b">
        <f t="shared" si="1"/>
        <v>1</v>
      </c>
    </row>
    <row r="41" spans="1:11" ht="12.75" x14ac:dyDescent="0.2">
      <c r="A41" s="2">
        <v>40</v>
      </c>
      <c r="B41" s="2" t="s">
        <v>133</v>
      </c>
      <c r="C41" s="2">
        <v>60</v>
      </c>
      <c r="D41" s="2" t="s">
        <v>134</v>
      </c>
      <c r="E41" s="2">
        <v>143</v>
      </c>
      <c r="F41" s="2" t="s">
        <v>135</v>
      </c>
      <c r="G41" s="2" t="s">
        <v>134</v>
      </c>
      <c r="H41" s="2" t="str">
        <f>IFERROR(VLOOKUP(C41,[1]Sheet1!$A:$D,4,0),"")</f>
        <v>https://s129144.cdn.mytvnet.vn/vimages/2a/ac/cd/df/f2/2a/2acdf-pnng2-channel-unkn.png</v>
      </c>
      <c r="I41" s="2" t="str">
        <f>IFERROR(VLOOKUP(C41,[1]Sheet1!$A:$D,2,0),"")</f>
        <v>Đà Nẵng 2</v>
      </c>
      <c r="J41" s="2" t="str">
        <f>IFERROR(VLOOKUP(C41,[1]Sheet1!$A:$D,3,0),"")</f>
        <v>rtp://232.84.3.122:8856</v>
      </c>
      <c r="K41" s="2" t="b">
        <f t="shared" si="1"/>
        <v>1</v>
      </c>
    </row>
    <row r="42" spans="1:11" ht="12.75" x14ac:dyDescent="0.2">
      <c r="A42" s="2">
        <v>41</v>
      </c>
      <c r="B42" s="2" t="s">
        <v>136</v>
      </c>
      <c r="C42" s="2">
        <v>162</v>
      </c>
      <c r="D42" s="2" t="s">
        <v>137</v>
      </c>
      <c r="E42" s="2">
        <v>145</v>
      </c>
      <c r="F42" s="2" t="s">
        <v>138</v>
      </c>
      <c r="G42" s="2" t="s">
        <v>139</v>
      </c>
      <c r="H42" s="2" t="str">
        <f>IFERROR(VLOOKUP(C42,[1]Sheet1!$A:$D,4,0),"")</f>
        <v>https://s129144.cdn.mytvnet.vn/vimages/58/87/7e/e1/12/2a/587e1-pdaklaktv-channel-unkn.png</v>
      </c>
      <c r="I42" s="2" t="str">
        <f>IFERROR(VLOOKUP(C42,[1]Sheet1!$A:$D,2,0),"")</f>
        <v>DakLak TV</v>
      </c>
      <c r="J42" s="2" t="str">
        <f>IFERROR(VLOOKUP(C42,[1]Sheet1!$A:$D,3,0),"")</f>
        <v>rtp://232.84.3.99:11464</v>
      </c>
      <c r="K42" s="2" t="b">
        <f t="shared" si="1"/>
        <v>1</v>
      </c>
    </row>
    <row r="43" spans="1:11" ht="12.75" x14ac:dyDescent="0.2">
      <c r="A43" s="2">
        <v>42</v>
      </c>
      <c r="B43" s="2" t="s">
        <v>140</v>
      </c>
      <c r="C43" s="2">
        <v>163</v>
      </c>
      <c r="D43" s="2" t="s">
        <v>141</v>
      </c>
      <c r="E43" s="2">
        <v>144</v>
      </c>
      <c r="F43" s="2" t="s">
        <v>142</v>
      </c>
      <c r="G43" s="2" t="s">
        <v>141</v>
      </c>
      <c r="H43" s="2" t="str">
        <f>IFERROR(VLOOKUP(C43,[1]Sheet1!$A:$D,4,0),"")</f>
        <v>https://s129144.cdn.mytvnet.vn/vimages/bd/d0/0a/a6/6b/b4/bd0a6-plmngtv3-channel-unkn.png</v>
      </c>
      <c r="I43" s="2" t="str">
        <f>IFERROR(VLOOKUP(C43,[1]Sheet1!$A:$D,2,0),"")</f>
        <v>Lâm Đồng TV3</v>
      </c>
      <c r="J43" s="2" t="str">
        <f>IFERROR(VLOOKUP(C43,[1]Sheet1!$A:$D,3,0),"")</f>
        <v>rtp://232.84.3.98:11458</v>
      </c>
      <c r="K43" s="2" t="b">
        <f t="shared" si="1"/>
        <v>1</v>
      </c>
    </row>
    <row r="44" spans="1:11" ht="12.75" x14ac:dyDescent="0.2">
      <c r="A44" s="2">
        <v>43</v>
      </c>
      <c r="B44" s="2" t="s">
        <v>143</v>
      </c>
      <c r="C44" s="2">
        <v>294</v>
      </c>
      <c r="D44" s="2" t="s">
        <v>144</v>
      </c>
      <c r="E44" s="2">
        <v>90</v>
      </c>
      <c r="F44" s="2" t="s">
        <v>145</v>
      </c>
      <c r="G44" s="2" t="s">
        <v>144</v>
      </c>
      <c r="H44" s="2" t="str">
        <f>IFERROR(VLOOKUP(C44,[1]Sheet1!$A:$D,4,0),"")</f>
        <v>https://s129144.cdn.mytvnet.vn/vimages/b0/0b/b6/6e/e8/86/b0b6e-pdavincihd-channel-unkn.png</v>
      </c>
      <c r="I44" s="2" t="str">
        <f>IFERROR(VLOOKUP(C44,[1]Sheet1!$A:$D,2,0),"")</f>
        <v>DaVinci HD</v>
      </c>
      <c r="J44" s="2" t="str">
        <f>IFERROR(VLOOKUP(C44,[1]Sheet1!$A:$D,3,0),"")</f>
        <v>rtp://232.84.2.131:9582</v>
      </c>
      <c r="K44" s="2" t="b">
        <f t="shared" si="1"/>
        <v>1</v>
      </c>
    </row>
    <row r="45" spans="1:11" ht="12.75" x14ac:dyDescent="0.2">
      <c r="A45" s="2">
        <v>44</v>
      </c>
      <c r="B45" s="2" t="s">
        <v>146</v>
      </c>
      <c r="C45" s="2">
        <v>158</v>
      </c>
      <c r="D45" s="2" t="s">
        <v>147</v>
      </c>
      <c r="E45" s="2">
        <v>146</v>
      </c>
      <c r="F45" s="2" t="s">
        <v>148</v>
      </c>
      <c r="G45" s="2" t="s">
        <v>149</v>
      </c>
      <c r="H45" s="2" t="str">
        <f>IFERROR(VLOOKUP(C45,[1]Sheet1!$A:$D,4,0),"")</f>
        <v>https://s129144.cdn.mytvnet.vn/vimages/18/8b/bd/d3/30/0a/18bd3-pinbintv-channel-unkn.png</v>
      </c>
      <c r="I45" s="2" t="str">
        <f>IFERROR(VLOOKUP(C45,[1]Sheet1!$A:$D,2,0),"")</f>
        <v>Điện Biên TV</v>
      </c>
      <c r="J45" s="2" t="str">
        <f>IFERROR(VLOOKUP(C45,[1]Sheet1!$A:$D,3,0),"")</f>
        <v>rtp://232.84.3.116:8880</v>
      </c>
      <c r="K45" s="2" t="b">
        <f t="shared" si="1"/>
        <v>1</v>
      </c>
    </row>
    <row r="46" spans="1:11" ht="12.75" x14ac:dyDescent="0.2">
      <c r="A46" s="2">
        <v>45</v>
      </c>
      <c r="B46" s="2" t="s">
        <v>150</v>
      </c>
      <c r="C46" s="2">
        <v>594</v>
      </c>
      <c r="D46" s="2" t="s">
        <v>151</v>
      </c>
      <c r="E46" s="2">
        <v>85</v>
      </c>
      <c r="F46" s="2" t="s">
        <v>152</v>
      </c>
      <c r="G46" s="2" t="s">
        <v>153</v>
      </c>
      <c r="H46" s="2" t="str">
        <f>IFERROR(VLOOKUP(C46,[1]Sheet1!$A:$D,4,0),"")</f>
        <v>https://s129144.cdn.mytvnet.vn/vimages/3c/cb/b3/37/74/49/3cb37-pdiscoveryhd-channel-unkn.png</v>
      </c>
      <c r="I46" s="2" t="str">
        <f>IFERROR(VLOOKUP(C46,[1]Sheet1!$A:$D,2,0),"")</f>
        <v>Discovery(HD)</v>
      </c>
      <c r="J46" s="2">
        <f>IFERROR(VLOOKUP(C46,[1]Sheet1!$A:$D,3,0),"")</f>
        <v>0</v>
      </c>
      <c r="K46" s="2" t="b">
        <f t="shared" si="1"/>
        <v>1</v>
      </c>
    </row>
    <row r="47" spans="1:11" ht="12.75" x14ac:dyDescent="0.2">
      <c r="A47" s="2">
        <v>46</v>
      </c>
      <c r="B47" s="2" t="s">
        <v>154</v>
      </c>
      <c r="C47" s="2">
        <v>739</v>
      </c>
      <c r="D47" s="2" t="s">
        <v>155</v>
      </c>
      <c r="E47" s="2">
        <v>84</v>
      </c>
      <c r="F47" s="2" t="s">
        <v>156</v>
      </c>
      <c r="G47" s="2" t="s">
        <v>157</v>
      </c>
      <c r="H47" s="2" t="str">
        <f>IFERROR(VLOOKUP(C47,[1]Sheet1!$A:$D,4,0),"")</f>
        <v>https://s129144.cdn.mytvnet.vn/vimages/be/ed/de/e9/92/2a/bede9-pdmaxhd-channel-unkn.png</v>
      </c>
      <c r="I47" s="2" t="str">
        <f>IFERROR(VLOOKUP(C47,[1]Sheet1!$A:$D,2,0),"")</f>
        <v>DMAX (HD)</v>
      </c>
      <c r="J47" s="2" t="str">
        <f>IFERROR(VLOOKUP(C47,[1]Sheet1!$A:$D,3,0),"")</f>
        <v>rtp:// 232.84.1.1:7980</v>
      </c>
      <c r="K47" s="2" t="b">
        <f t="shared" si="1"/>
        <v>1</v>
      </c>
    </row>
    <row r="48" spans="1:11" ht="12.75" x14ac:dyDescent="0.2">
      <c r="A48" s="2">
        <v>47</v>
      </c>
      <c r="B48" s="2" t="s">
        <v>158</v>
      </c>
      <c r="C48" s="2">
        <v>404</v>
      </c>
      <c r="D48" s="2" t="s">
        <v>159</v>
      </c>
      <c r="E48" s="2">
        <v>147</v>
      </c>
      <c r="F48" s="2" t="s">
        <v>160</v>
      </c>
      <c r="G48" s="2" t="s">
        <v>161</v>
      </c>
      <c r="H48" s="2" t="str">
        <f>IFERROR(VLOOKUP(C48,[1]Sheet1!$A:$D,4,0),"")</f>
        <v>https://s129144.cdn.mytvnet.vn/vimages/fc/c0/0c/c8/8a/ae/fc0c8-pngnai1hd-channel-unkn.png</v>
      </c>
      <c r="I48" s="2" t="str">
        <f>IFERROR(VLOOKUP(C48,[1]Sheet1!$A:$D,2,0),"")</f>
        <v>Đồng Nai 1 HD</v>
      </c>
      <c r="J48" s="2" t="str">
        <f>IFERROR(VLOOKUP(C48,[1]Sheet1!$A:$D,3,0),"")</f>
        <v>rtp://232.84.3.112:10762</v>
      </c>
      <c r="K48" s="2" t="b">
        <f t="shared" si="1"/>
        <v>1</v>
      </c>
    </row>
    <row r="49" spans="1:11" ht="12.75" x14ac:dyDescent="0.2">
      <c r="A49" s="2">
        <v>48</v>
      </c>
      <c r="B49" s="2" t="s">
        <v>162</v>
      </c>
      <c r="C49" s="2">
        <v>95</v>
      </c>
      <c r="D49" s="2" t="s">
        <v>163</v>
      </c>
      <c r="E49" s="2">
        <v>148</v>
      </c>
      <c r="F49" s="2" t="s">
        <v>164</v>
      </c>
      <c r="G49" s="2" t="s">
        <v>163</v>
      </c>
      <c r="H49" s="2" t="str">
        <f>IFERROR(VLOOKUP(C49,[1]Sheet1!$A:$D,4,0),"")</f>
        <v>https://s129144.cdn.mytvnet.vn/vimages/a7/7f/f9/97/7e/e7/a7f97-pngnai2-channel-unkn.png</v>
      </c>
      <c r="I49" s="2" t="str">
        <f>IFERROR(VLOOKUP(C49,[1]Sheet1!$A:$D,2,0),"")</f>
        <v>Đồng Nai 2</v>
      </c>
      <c r="J49" s="2" t="str">
        <f>IFERROR(VLOOKUP(C49,[1]Sheet1!$A:$D,3,0),"")</f>
        <v>rtp://232.84.1.153:8892</v>
      </c>
      <c r="K49" s="2" t="b">
        <f t="shared" si="1"/>
        <v>1</v>
      </c>
    </row>
    <row r="50" spans="1:11" ht="12.75" x14ac:dyDescent="0.2">
      <c r="A50" s="2">
        <v>49</v>
      </c>
      <c r="B50" s="2" t="s">
        <v>165</v>
      </c>
      <c r="C50" s="2">
        <v>96</v>
      </c>
      <c r="D50" s="2" t="s">
        <v>166</v>
      </c>
      <c r="E50" s="2">
        <v>149</v>
      </c>
      <c r="F50" s="2" t="s">
        <v>167</v>
      </c>
      <c r="G50" s="2" t="s">
        <v>166</v>
      </c>
      <c r="H50" s="2" t="str">
        <f>IFERROR(VLOOKUP(C50,[1]Sheet1!$A:$D,4,0),"")</f>
        <v>https://s129144.cdn.mytvnet.vn/vimages/1a/ab/b5/54/4f/ff/1ab54-pngthptv1-channel-unkn.png</v>
      </c>
      <c r="I50" s="2" t="str">
        <f>IFERROR(VLOOKUP(C50,[1]Sheet1!$A:$D,2,0),"")</f>
        <v>Đồng Tháp TV1</v>
      </c>
      <c r="J50" s="2" t="str">
        <f>IFERROR(VLOOKUP(C50,[1]Sheet1!$A:$D,3,0),"")</f>
        <v>rtp://232.84.3.235:11332</v>
      </c>
      <c r="K50" s="2" t="b">
        <f t="shared" si="1"/>
        <v>1</v>
      </c>
    </row>
    <row r="51" spans="1:11" ht="12.75" x14ac:dyDescent="0.2">
      <c r="A51" s="2">
        <v>50</v>
      </c>
      <c r="B51" s="2" t="s">
        <v>168</v>
      </c>
      <c r="C51" s="2">
        <v>553</v>
      </c>
      <c r="D51" s="2" t="s">
        <v>169</v>
      </c>
      <c r="E51" s="2">
        <v>106</v>
      </c>
      <c r="F51" s="2" t="s">
        <v>170</v>
      </c>
      <c r="G51" s="2" t="s">
        <v>171</v>
      </c>
      <c r="H51" s="2" t="str">
        <f>IFERROR(VLOOKUP(C51,[1]Sheet1!$A:$D,4,0),"")</f>
        <v>https://s129144.cdn.mytvnet.vn/vimages/de/eb/ba/a7/7e/ee/deba7-pdreamworkshd-channel-unkn.png</v>
      </c>
      <c r="I51" s="2" t="str">
        <f>IFERROR(VLOOKUP(C51,[1]Sheet1!$A:$D,2,0),"")</f>
        <v>DreamWorks (HD)</v>
      </c>
      <c r="J51" s="2" t="str">
        <f>IFERROR(VLOOKUP(C51,[1]Sheet1!$A:$D,3,0),"")</f>
        <v>rtp://232.84.3.227:11284</v>
      </c>
      <c r="K51" s="2" t="b">
        <f t="shared" si="1"/>
        <v>1</v>
      </c>
    </row>
    <row r="52" spans="1:11" ht="12.75" x14ac:dyDescent="0.2">
      <c r="A52" s="2">
        <v>51</v>
      </c>
      <c r="B52" s="2" t="s">
        <v>172</v>
      </c>
      <c r="C52" s="2">
        <v>313</v>
      </c>
      <c r="D52" s="2" t="s">
        <v>173</v>
      </c>
      <c r="E52" s="2">
        <v>109</v>
      </c>
      <c r="F52" s="2" t="s">
        <v>174</v>
      </c>
      <c r="G52" s="2" t="s">
        <v>175</v>
      </c>
      <c r="H52" s="2" t="str">
        <f>IFERROR(VLOOKUP(C52,[1]Sheet1!$A:$D,4,0),"")</f>
        <v>https://s129144.cdn.mytvnet.vn/vimages/38/85/5a/aa/a1/1b/385aa-pdwhd-channel-unkn.png</v>
      </c>
      <c r="I52" s="2" t="str">
        <f>IFERROR(VLOOKUP(C52,[1]Sheet1!$A:$D,2,0),"")</f>
        <v>DW-HD</v>
      </c>
      <c r="J52" s="2" t="str">
        <f>IFERROR(VLOOKUP(C52,[1]Sheet1!$A:$D,3,0),"")</f>
        <v>rtp://232.84.3.154:10416</v>
      </c>
      <c r="K52" s="2" t="b">
        <f t="shared" si="1"/>
        <v>1</v>
      </c>
    </row>
    <row r="53" spans="1:11" ht="12.75" x14ac:dyDescent="0.2">
      <c r="A53" s="2">
        <v>52</v>
      </c>
      <c r="B53" s="2" t="s">
        <v>176</v>
      </c>
      <c r="C53" s="2">
        <v>308</v>
      </c>
      <c r="D53" s="2" t="s">
        <v>177</v>
      </c>
      <c r="E53" s="2">
        <v>115</v>
      </c>
      <c r="F53" s="2" t="s">
        <v>178</v>
      </c>
      <c r="G53" s="2" t="s">
        <v>179</v>
      </c>
      <c r="H53" s="2" t="str">
        <f>IFERROR(VLOOKUP(C53,[1]Sheet1!$A:$D,4,0),"")</f>
        <v>https://s129144.cdn.mytvnet.vn/vimages/b2/26/6b/bc/c6/6d/b26bc-pfrance24-channel-unkn.png</v>
      </c>
      <c r="I53" s="2" t="str">
        <f>IFERROR(VLOOKUP(C53,[1]Sheet1!$A:$D,2,0),"")</f>
        <v>France24</v>
      </c>
      <c r="J53" s="2" t="str">
        <f>IFERROR(VLOOKUP(C53,[1]Sheet1!$A:$D,3,0),"")</f>
        <v>rtp://232.84.3.145:9606</v>
      </c>
      <c r="K53" s="2" t="b">
        <f t="shared" si="1"/>
        <v>1</v>
      </c>
    </row>
    <row r="54" spans="1:11" ht="12.75" x14ac:dyDescent="0.2">
      <c r="A54" s="2">
        <v>53</v>
      </c>
      <c r="B54" s="2" t="s">
        <v>180</v>
      </c>
      <c r="C54" s="2">
        <v>595</v>
      </c>
      <c r="D54" s="2" t="s">
        <v>181</v>
      </c>
      <c r="E54" s="2">
        <v>92</v>
      </c>
      <c r="F54" s="2" t="s">
        <v>182</v>
      </c>
      <c r="G54" s="2" t="s">
        <v>183</v>
      </c>
      <c r="H54" s="2" t="str">
        <f>IFERROR(VLOOKUP(C54,[1]Sheet1!$A:$D,4,0),"")</f>
        <v>https://s129144.cdn.mytvnet.vn/vimages/02/29/9b/bd/da/aa/029bd-pftvhd-channel-unkn.png</v>
      </c>
      <c r="I54" s="2" t="str">
        <f>IFERROR(VLOOKUP(C54,[1]Sheet1!$A:$D,2,0),"")</f>
        <v>FTV(HD)</v>
      </c>
      <c r="J54" s="2" t="str">
        <f>IFERROR(VLOOKUP(C54,[1]Sheet1!$A:$D,3,0),"")</f>
        <v>vstv445</v>
      </c>
      <c r="K54" s="2" t="b">
        <f t="shared" si="1"/>
        <v>1</v>
      </c>
    </row>
    <row r="55" spans="1:11" ht="12.75" x14ac:dyDescent="0.2">
      <c r="A55" s="2">
        <v>54</v>
      </c>
      <c r="B55" s="2" t="s">
        <v>184</v>
      </c>
      <c r="C55" s="2">
        <v>172</v>
      </c>
      <c r="D55" s="2" t="s">
        <v>185</v>
      </c>
      <c r="E55" s="2">
        <v>150</v>
      </c>
      <c r="F55" s="2" t="s">
        <v>186</v>
      </c>
      <c r="G55" s="2" t="s">
        <v>187</v>
      </c>
      <c r="H55" s="2" t="str">
        <f>IFERROR(VLOOKUP(C55,[1]Sheet1!$A:$D,4,0),"")</f>
        <v>https://s129144.cdn.mytvnet.vn/vimages/73/3d/da/a2/26/6e/73da2-pgialaitv-channel-unkn.png</v>
      </c>
      <c r="I55" s="2" t="str">
        <f>IFERROR(VLOOKUP(C55,[1]Sheet1!$A:$D,2,0),"")</f>
        <v>Gia Lai TV</v>
      </c>
      <c r="J55" s="2" t="str">
        <f>IFERROR(VLOOKUP(C55,[1]Sheet1!$A:$D,3,0),"")</f>
        <v>rtp://232.84.3.138:8904</v>
      </c>
      <c r="K55" s="2" t="b">
        <f t="shared" si="1"/>
        <v>1</v>
      </c>
    </row>
    <row r="56" spans="1:11" ht="12.75" x14ac:dyDescent="0.2">
      <c r="A56" s="2">
        <v>55</v>
      </c>
      <c r="B56" s="2" t="s">
        <v>188</v>
      </c>
      <c r="C56" s="2">
        <v>155</v>
      </c>
      <c r="D56" s="2" t="s">
        <v>189</v>
      </c>
      <c r="E56" s="2">
        <v>151</v>
      </c>
      <c r="F56" s="2" t="s">
        <v>190</v>
      </c>
      <c r="G56" s="2" t="s">
        <v>191</v>
      </c>
      <c r="H56" s="2" t="str">
        <f>IFERROR(VLOOKUP(C56,[1]Sheet1!$A:$D,4,0),"")</f>
        <v>https://s129144.cdn.mytvnet.vn/vimages/2d/d3/37/7d/d2/2b/2d37d-phgiangtv-channel-unkn.png</v>
      </c>
      <c r="I56" s="2" t="str">
        <f>IFERROR(VLOOKUP(C56,[1]Sheet1!$A:$D,2,0),"")</f>
        <v>Hà Giang TV</v>
      </c>
      <c r="J56" s="2" t="str">
        <f>IFERROR(VLOOKUP(C56,[1]Sheet1!$A:$D,3,0),"")</f>
        <v>rtp://232.84.2.85:8910</v>
      </c>
      <c r="K56" s="2" t="b">
        <f t="shared" si="1"/>
        <v>1</v>
      </c>
    </row>
    <row r="57" spans="1:11" ht="12.75" x14ac:dyDescent="0.2">
      <c r="A57" s="2">
        <v>56</v>
      </c>
      <c r="B57" s="2" t="s">
        <v>192</v>
      </c>
      <c r="C57" s="2">
        <v>40</v>
      </c>
      <c r="D57" s="2" t="s">
        <v>193</v>
      </c>
      <c r="E57" s="2">
        <v>152</v>
      </c>
      <c r="F57" s="2" t="s">
        <v>194</v>
      </c>
      <c r="G57" s="2" t="s">
        <v>193</v>
      </c>
      <c r="H57" s="2" t="str">
        <f>IFERROR(VLOOKUP(C57,[1]Sheet1!$A:$D,4,0),"")</f>
        <v>https://s129144.cdn.mytvnet.vn/vimages/41/11/1f/f0/06/63/411f0-phnam-channel-unkn.png</v>
      </c>
      <c r="I57" s="2" t="str">
        <f>IFERROR(VLOOKUP(C57,[1]Sheet1!$A:$D,2,0),"")</f>
        <v>Hà Nam</v>
      </c>
      <c r="J57" s="2" t="str">
        <f>IFERROR(VLOOKUP(C57,[1]Sheet1!$A:$D,3,0),"")</f>
        <v>rtp://232.84.2.82:8916</v>
      </c>
      <c r="K57" s="2" t="b">
        <f t="shared" si="1"/>
        <v>1</v>
      </c>
    </row>
    <row r="58" spans="1:11" ht="12.75" x14ac:dyDescent="0.2">
      <c r="A58" s="2">
        <v>57</v>
      </c>
      <c r="B58" s="2" t="s">
        <v>195</v>
      </c>
      <c r="C58" s="2">
        <v>400</v>
      </c>
      <c r="D58" s="2" t="s">
        <v>196</v>
      </c>
      <c r="E58" s="2">
        <v>153</v>
      </c>
      <c r="F58" s="2" t="s">
        <v>197</v>
      </c>
      <c r="G58" s="2" t="s">
        <v>198</v>
      </c>
      <c r="H58" s="2" t="str">
        <f>IFERROR(VLOOKUP(C58,[1]Sheet1!$A:$D,4,0),"")</f>
        <v>https://s129144.cdn.mytvnet.vn/vimages/4a/ab/b7/75/55/55/4ab75-phni1hd-channel-unkn.png</v>
      </c>
      <c r="I58" s="2" t="str">
        <f>IFERROR(VLOOKUP(C58,[1]Sheet1!$A:$D,2,0),"")</f>
        <v>Hà Nội 1  HD</v>
      </c>
      <c r="J58" s="2" t="str">
        <f>IFERROR(VLOOKUP(C58,[1]Sheet1!$A:$D,3,0),"")</f>
        <v>rtp://232.84.3.143:10738</v>
      </c>
      <c r="K58" s="2" t="b">
        <f t="shared" si="1"/>
        <v>1</v>
      </c>
    </row>
    <row r="59" spans="1:11" ht="12.75" x14ac:dyDescent="0.2">
      <c r="A59" s="2">
        <v>58</v>
      </c>
      <c r="B59" s="2" t="s">
        <v>199</v>
      </c>
      <c r="C59" s="2">
        <v>401</v>
      </c>
      <c r="D59" s="2" t="s">
        <v>200</v>
      </c>
      <c r="E59" s="2">
        <v>154</v>
      </c>
      <c r="F59" s="2" t="s">
        <v>201</v>
      </c>
      <c r="G59" s="2" t="s">
        <v>202</v>
      </c>
      <c r="H59" s="2" t="str">
        <f>IFERROR(VLOOKUP(C59,[1]Sheet1!$A:$D,4,0),"")</f>
        <v>https://s129144.cdn.mytvnet.vn/vimages/f0/0f/f2/28/88/83/f0f28-phni2hd-channel-unkn.png</v>
      </c>
      <c r="I59" s="2" t="str">
        <f>IFERROR(VLOOKUP(C59,[1]Sheet1!$A:$D,2,0),"")</f>
        <v>Hà Nội 2 HD</v>
      </c>
      <c r="J59" s="2" t="str">
        <f>IFERROR(VLOOKUP(C59,[1]Sheet1!$A:$D,3,0),"")</f>
        <v>rtp://232.84.3.137:10744</v>
      </c>
      <c r="K59" s="2" t="b">
        <f t="shared" si="1"/>
        <v>1</v>
      </c>
    </row>
    <row r="60" spans="1:11" ht="12.75" x14ac:dyDescent="0.2">
      <c r="A60" s="2">
        <v>59</v>
      </c>
      <c r="B60" s="2" t="s">
        <v>203</v>
      </c>
      <c r="C60" s="2">
        <v>405</v>
      </c>
      <c r="D60" s="2" t="s">
        <v>204</v>
      </c>
      <c r="E60" s="2">
        <v>156</v>
      </c>
      <c r="F60" s="2" t="s">
        <v>205</v>
      </c>
      <c r="G60" s="2" t="s">
        <v>206</v>
      </c>
      <c r="H60" s="2" t="str">
        <f>IFERROR(VLOOKUP(C60,[1]Sheet1!$A:$D,4,0),"")</f>
        <v>https://s129144.cdn.mytvnet.vn/vimages/cf/f0/0c/c8/8e/ed/cf0c8-phtnhtvhd-channel-unkn.png</v>
      </c>
      <c r="I60" s="2" t="str">
        <f>IFERROR(VLOOKUP(C60,[1]Sheet1!$A:$D,2,0),"")</f>
        <v>Hà Tĩnh TV HD</v>
      </c>
      <c r="J60" s="2" t="str">
        <f>IFERROR(VLOOKUP(C60,[1]Sheet1!$A:$D,3,0),"")</f>
        <v>rtp://232.84.3.134:10768</v>
      </c>
      <c r="K60" s="2" t="b">
        <f t="shared" si="1"/>
        <v>1</v>
      </c>
    </row>
    <row r="61" spans="1:11" ht="12.75" x14ac:dyDescent="0.2">
      <c r="A61" s="2">
        <v>60</v>
      </c>
      <c r="B61" s="2" t="s">
        <v>207</v>
      </c>
      <c r="C61" s="2">
        <v>93</v>
      </c>
      <c r="D61" s="2" t="s">
        <v>208</v>
      </c>
      <c r="E61" s="2">
        <v>157</v>
      </c>
      <c r="F61" s="2" t="s">
        <v>209</v>
      </c>
      <c r="G61" s="2" t="s">
        <v>208</v>
      </c>
      <c r="H61" s="2" t="str">
        <f>IFERROR(VLOOKUP(C61,[1]Sheet1!$A:$D,4,0),"")</f>
        <v>https://s129144.cdn.mytvnet.vn/vimages/aa/a1/13/32/28/86/aa132-phiphng3-channel-unkn.png</v>
      </c>
      <c r="I61" s="2" t="str">
        <f>IFERROR(VLOOKUP(C61,[1]Sheet1!$A:$D,2,0),"")</f>
        <v>Hải Phòng 3</v>
      </c>
      <c r="J61" s="2" t="str">
        <f>IFERROR(VLOOKUP(C61,[1]Sheet1!$A:$D,3,0),"")</f>
        <v>rtp://232.84.3.44:11788</v>
      </c>
      <c r="K61" s="2" t="b">
        <f t="shared" si="1"/>
        <v>1</v>
      </c>
    </row>
    <row r="62" spans="1:11" ht="12.75" x14ac:dyDescent="0.2">
      <c r="A62" s="2">
        <v>61</v>
      </c>
      <c r="B62" s="2" t="s">
        <v>210</v>
      </c>
      <c r="C62" s="2">
        <v>407</v>
      </c>
      <c r="D62" s="2" t="s">
        <v>211</v>
      </c>
      <c r="E62" s="2">
        <v>158</v>
      </c>
      <c r="F62" s="2" t="s">
        <v>212</v>
      </c>
      <c r="G62" s="2" t="s">
        <v>213</v>
      </c>
      <c r="H62" s="2" t="str">
        <f>IFERROR(VLOOKUP(C62,[1]Sheet1!$A:$D,4,0),"")</f>
        <v>https://s129144.cdn.mytvnet.vn/vimages/a9/9c/c3/35/56/6c/a9c35-phiphngtvhd-channel-unkn.png</v>
      </c>
      <c r="I62" s="2" t="str">
        <f>IFERROR(VLOOKUP(C62,[1]Sheet1!$A:$D,2,0),"")</f>
        <v>Hải Phòng TV HD</v>
      </c>
      <c r="J62" s="2" t="str">
        <f>IFERROR(VLOOKUP(C62,[1]Sheet1!$A:$D,3,0),"")</f>
        <v>rtp://232.84.3.142:10780</v>
      </c>
      <c r="K62" s="2" t="b">
        <f t="shared" si="1"/>
        <v>1</v>
      </c>
    </row>
    <row r="63" spans="1:11" ht="12.75" x14ac:dyDescent="0.2">
      <c r="A63" s="2">
        <v>62</v>
      </c>
      <c r="B63" s="2" t="s">
        <v>214</v>
      </c>
      <c r="C63" s="2">
        <v>181</v>
      </c>
      <c r="D63" s="2" t="s">
        <v>215</v>
      </c>
      <c r="E63" s="2">
        <v>160</v>
      </c>
      <c r="F63" s="2" t="s">
        <v>216</v>
      </c>
      <c r="G63" s="2" t="s">
        <v>215</v>
      </c>
      <c r="H63" s="2" t="str">
        <f>IFERROR(VLOOKUP(C63,[1]Sheet1!$A:$D,4,0),"")</f>
        <v>https://s129144.cdn.mytvnet.vn/vimages/12/23/3e/e2/20/05/123e2-pcnthtv2-channel-unkn.png</v>
      </c>
      <c r="I63" s="2" t="str">
        <f>IFERROR(VLOOKUP(C63,[1]Sheet1!$A:$D,2,0),"")</f>
        <v>Cần Thơ TV2</v>
      </c>
      <c r="J63" s="2" t="str">
        <f>IFERROR(VLOOKUP(C63,[1]Sheet1!$A:$D,3,0),"")</f>
        <v>rtp://232.84.2.112:8940</v>
      </c>
      <c r="K63" s="2" t="b">
        <f t="shared" si="1"/>
        <v>1</v>
      </c>
    </row>
    <row r="64" spans="1:11" ht="12.75" x14ac:dyDescent="0.2">
      <c r="A64" s="2">
        <v>63</v>
      </c>
      <c r="B64" s="2" t="s">
        <v>217</v>
      </c>
      <c r="C64" s="2">
        <v>159</v>
      </c>
      <c r="D64" s="2" t="s">
        <v>218</v>
      </c>
      <c r="E64" s="2">
        <v>161</v>
      </c>
      <c r="F64" s="2" t="s">
        <v>219</v>
      </c>
      <c r="G64" s="2" t="s">
        <v>220</v>
      </c>
      <c r="H64" s="2" t="str">
        <f>IFERROR(VLOOKUP(C64,[1]Sheet1!$A:$D,4,0),"")</f>
        <v>https://s129144.cdn.mytvnet.vn/vimages/0e/e1/14/4e/e1/16/0e14e-phabnhtv-channel-unkn.png</v>
      </c>
      <c r="I64" s="2" t="str">
        <f>IFERROR(VLOOKUP(C64,[1]Sheet1!$A:$D,2,0),"")</f>
        <v>Hòa Bình TV</v>
      </c>
      <c r="J64" s="2" t="str">
        <f>IFERROR(VLOOKUP(C64,[1]Sheet1!$A:$D,3,0),"")</f>
        <v>rtp://232.84.3.213:11200</v>
      </c>
      <c r="K64" s="2" t="b">
        <f t="shared" si="1"/>
        <v>1</v>
      </c>
    </row>
    <row r="65" spans="1:11" ht="12.75" x14ac:dyDescent="0.2">
      <c r="A65" s="2">
        <v>64</v>
      </c>
      <c r="B65" s="2" t="s">
        <v>221</v>
      </c>
      <c r="C65" s="2">
        <v>9</v>
      </c>
      <c r="D65" s="2" t="s">
        <v>222</v>
      </c>
      <c r="E65" s="2">
        <v>42</v>
      </c>
      <c r="F65" s="2" t="s">
        <v>223</v>
      </c>
      <c r="G65" s="2" t="s">
        <v>224</v>
      </c>
      <c r="H65" s="2" t="str">
        <f>IFERROR(VLOOKUP(C65,[1]Sheet1!$A:$D,4,0),"")</f>
        <v>https://s129144.cdn.mytvnet.vn/vimages/2a/a0/00/07/7b/b1/2a007-phtvkeyhd-channel-unkn.png</v>
      </c>
      <c r="I65" s="2" t="str">
        <f>IFERROR(VLOOKUP(C65,[1]Sheet1!$A:$D,2,0),"")</f>
        <v>HTV Key (HD)</v>
      </c>
      <c r="J65" s="2" t="str">
        <f>IFERROR(VLOOKUP(C65,[1]Sheet1!$A:$D,3,0),"")</f>
        <v>rtp://232.84.3.55:11722</v>
      </c>
      <c r="K65" s="2" t="b">
        <f t="shared" si="1"/>
        <v>1</v>
      </c>
    </row>
    <row r="66" spans="1:11" ht="12.75" x14ac:dyDescent="0.2">
      <c r="A66" s="2">
        <v>65</v>
      </c>
      <c r="B66" s="2" t="s">
        <v>225</v>
      </c>
      <c r="C66" s="2">
        <v>16</v>
      </c>
      <c r="D66" s="2" t="s">
        <v>226</v>
      </c>
      <c r="E66" s="2">
        <v>50</v>
      </c>
      <c r="F66" s="2" t="s">
        <v>227</v>
      </c>
      <c r="G66" s="2" t="s">
        <v>228</v>
      </c>
      <c r="H66" s="2" t="str">
        <f>IFERROR(VLOOKUP(C66,[1]Sheet1!$A:$D,4,0),"")</f>
        <v>https://s129144.cdn.mytvnet.vn/vimages/de/ea/ad/d8/86/64/dead8-phtvphnhd-channel-unkn.png</v>
      </c>
      <c r="I66" s="2" t="str">
        <f>IFERROR(VLOOKUP(C66,[1]Sheet1!$A:$D,2,0),"")</f>
        <v>HTV Phụ Nữ (HD)</v>
      </c>
      <c r="J66" s="2" t="str">
        <f>IFERROR(VLOOKUP(C66,[1]Sheet1!$A:$D,3,0),"")</f>
        <v>rtp://232.84.3.51:11746</v>
      </c>
      <c r="K66" s="2" t="b">
        <f t="shared" ref="K66:K97" si="2">D66=I66</f>
        <v>1</v>
      </c>
    </row>
    <row r="67" spans="1:11" ht="12.75" x14ac:dyDescent="0.2">
      <c r="A67" s="2">
        <v>66</v>
      </c>
      <c r="B67" s="2" t="s">
        <v>229</v>
      </c>
      <c r="C67" s="2">
        <v>18</v>
      </c>
      <c r="D67" s="2" t="s">
        <v>230</v>
      </c>
      <c r="E67" s="2">
        <v>45</v>
      </c>
      <c r="F67" s="2" t="s">
        <v>231</v>
      </c>
      <c r="G67" s="2" t="s">
        <v>232</v>
      </c>
      <c r="H67" s="2" t="str">
        <f>IFERROR(VLOOKUP(C67,[1]Sheet1!$A:$D,4,0),"")</f>
        <v>https://s129144.cdn.mytvnet.vn/vimages/69/92/28/83/3b/b0/69283-phtvththao-channel-unkn.png</v>
      </c>
      <c r="I67" s="2" t="str">
        <f>IFERROR(VLOOKUP(C67,[1]Sheet1!$A:$D,2,0),"")</f>
        <v>HTV Thể thao</v>
      </c>
      <c r="J67" s="2" t="str">
        <f>IFERROR(VLOOKUP(C67,[1]Sheet1!$A:$D,3,0),"")</f>
        <v>rtp://232.84.3.88:11524</v>
      </c>
      <c r="K67" s="2" t="b">
        <f t="shared" si="2"/>
        <v>1</v>
      </c>
    </row>
    <row r="68" spans="1:11" ht="12.75" x14ac:dyDescent="0.2">
      <c r="A68" s="2">
        <v>67</v>
      </c>
      <c r="B68" s="2" t="s">
        <v>233</v>
      </c>
      <c r="C68" s="2">
        <v>300</v>
      </c>
      <c r="D68" s="2" t="s">
        <v>234</v>
      </c>
      <c r="E68" s="2">
        <v>48</v>
      </c>
      <c r="F68" s="2" t="s">
        <v>235</v>
      </c>
      <c r="G68" s="2" t="s">
        <v>236</v>
      </c>
      <c r="H68" s="2" t="str">
        <f>IFERROR(VLOOKUP(C68,[1]Sheet1!$A:$D,4,0),"")</f>
        <v>https://s129144.cdn.mytvnet.vn/vimages/8b/b4/4f/fa/aa/a0/8b4fa-phtvthunvithd-channel-unkn.png</v>
      </c>
      <c r="I68" s="2" t="str">
        <f>IFERROR(VLOOKUP(C68,[1]Sheet1!$A:$D,2,0),"")</f>
        <v>HTV Thuần Việt HD</v>
      </c>
      <c r="J68" s="2" t="str">
        <f>IFERROR(VLOOKUP(C68,[1]Sheet1!$A:$D,3,0),"")</f>
        <v>rtp://232.84.2.134:9600</v>
      </c>
      <c r="K68" s="2" t="b">
        <f t="shared" si="2"/>
        <v>1</v>
      </c>
    </row>
    <row r="69" spans="1:11" ht="12.75" x14ac:dyDescent="0.2">
      <c r="A69" s="2">
        <v>68</v>
      </c>
      <c r="B69" s="2" t="s">
        <v>237</v>
      </c>
      <c r="C69" s="2">
        <v>7</v>
      </c>
      <c r="D69" s="2" t="s">
        <v>238</v>
      </c>
      <c r="E69" s="2">
        <v>39</v>
      </c>
      <c r="F69" s="2" t="s">
        <v>239</v>
      </c>
      <c r="G69" s="2" t="s">
        <v>240</v>
      </c>
      <c r="H69" s="2" t="str">
        <f>IFERROR(VLOOKUP(C69,[1]Sheet1!$A:$D,4,0),"")</f>
        <v>https://s129144.cdn.mytvnet.vn/vimages/8c/ce/ee/e7/79/98/8cee7-phtv1hd-channel-unkn.png</v>
      </c>
      <c r="I69" s="2" t="str">
        <f>IFERROR(VLOOKUP(C69,[1]Sheet1!$A:$D,2,0),"")</f>
        <v>HTV1 HD</v>
      </c>
      <c r="J69" s="2" t="str">
        <f>IFERROR(VLOOKUP(C69,[1]Sheet1!$A:$D,3,0),"")</f>
        <v>rtp://232.84.3.57:11710</v>
      </c>
      <c r="K69" s="2" t="b">
        <f t="shared" si="2"/>
        <v>1</v>
      </c>
    </row>
    <row r="70" spans="1:11" ht="12.75" x14ac:dyDescent="0.2">
      <c r="A70" s="2">
        <v>69</v>
      </c>
      <c r="B70" s="2" t="s">
        <v>241</v>
      </c>
      <c r="C70" s="2">
        <v>127</v>
      </c>
      <c r="D70" s="2" t="s">
        <v>242</v>
      </c>
      <c r="E70" s="2">
        <v>40</v>
      </c>
      <c r="F70" s="2" t="s">
        <v>243</v>
      </c>
      <c r="G70" s="2" t="s">
        <v>242</v>
      </c>
      <c r="H70" s="2" t="str">
        <f>IFERROR(VLOOKUP(C70,[1]Sheet1!$A:$D,4,0),"")</f>
        <v>https://s129144.cdn.mytvnet.vn/vimages/a0/07/73/39/9e/e6/a0739-phtv2hd-channel-unkn.png</v>
      </c>
      <c r="I70" s="2" t="str">
        <f>IFERROR(VLOOKUP(C70,[1]Sheet1!$A:$D,2,0),"")</f>
        <v>HTV2 HD</v>
      </c>
      <c r="J70" s="2" t="str">
        <f>IFERROR(VLOOKUP(C70,[1]Sheet1!$A:$D,3,0),"")</f>
        <v>rtp://232.84.2.182:9306</v>
      </c>
      <c r="K70" s="2" t="b">
        <f t="shared" si="2"/>
        <v>1</v>
      </c>
    </row>
    <row r="71" spans="1:11" ht="12.75" x14ac:dyDescent="0.2">
      <c r="A71" s="2">
        <v>70</v>
      </c>
      <c r="B71" s="2" t="s">
        <v>244</v>
      </c>
      <c r="C71" s="2">
        <v>110</v>
      </c>
      <c r="D71" s="2" t="s">
        <v>245</v>
      </c>
      <c r="E71" s="2">
        <v>41</v>
      </c>
      <c r="F71" s="2" t="s">
        <v>246</v>
      </c>
      <c r="G71" s="2" t="s">
        <v>247</v>
      </c>
      <c r="H71" s="2" t="str">
        <f>IFERROR(VLOOKUP(C71,[1]Sheet1!$A:$D,4,0),"")</f>
        <v>https://s129144.cdn.mytvnet.vn/vimages/b4/4c/c3/36/68/86/b4c36-phtv3hd-channel-unkn.png</v>
      </c>
      <c r="I71" s="2" t="str">
        <f>IFERROR(VLOOKUP(C71,[1]Sheet1!$A:$D,2,0),"")</f>
        <v>HTV3 HD</v>
      </c>
      <c r="J71" s="2" t="str">
        <f>IFERROR(VLOOKUP(C71,[1]Sheet1!$A:$D,3,0),"")</f>
        <v>rtp://232.84.3.56:11716</v>
      </c>
      <c r="K71" s="2" t="b">
        <f t="shared" si="2"/>
        <v>1</v>
      </c>
    </row>
    <row r="72" spans="1:11" ht="12.75" x14ac:dyDescent="0.2">
      <c r="A72" s="2">
        <v>71</v>
      </c>
      <c r="B72" s="2" t="s">
        <v>248</v>
      </c>
      <c r="C72" s="2">
        <v>128</v>
      </c>
      <c r="D72" s="2" t="s">
        <v>249</v>
      </c>
      <c r="E72" s="2">
        <v>43</v>
      </c>
      <c r="F72" s="2" t="s">
        <v>250</v>
      </c>
      <c r="G72" s="2" t="s">
        <v>249</v>
      </c>
      <c r="H72" s="2" t="str">
        <f>IFERROR(VLOOKUP(C72,[1]Sheet1!$A:$D,4,0),"")</f>
        <v>https://s129144.cdn.mytvnet.vn/vimages/65/5a/a5/51/11/13/65a51-phtv7hd-channel-unkn.png</v>
      </c>
      <c r="I72" s="2" t="str">
        <f>IFERROR(VLOOKUP(C72,[1]Sheet1!$A:$D,2,0),"")</f>
        <v>HTV7 HD</v>
      </c>
      <c r="J72" s="2" t="str">
        <f>IFERROR(VLOOKUP(C72,[1]Sheet1!$A:$D,3,0),"")</f>
        <v>rtp://232.84.1.223:9312</v>
      </c>
      <c r="K72" s="2" t="b">
        <f t="shared" si="2"/>
        <v>1</v>
      </c>
    </row>
    <row r="73" spans="1:11" ht="12.75" x14ac:dyDescent="0.2">
      <c r="A73" s="2">
        <v>72</v>
      </c>
      <c r="B73" s="2" t="s">
        <v>251</v>
      </c>
      <c r="C73" s="2">
        <v>190</v>
      </c>
      <c r="D73" s="2" t="s">
        <v>252</v>
      </c>
      <c r="E73" s="2">
        <v>44</v>
      </c>
      <c r="F73" s="2" t="s">
        <v>253</v>
      </c>
      <c r="G73" s="2" t="s">
        <v>252</v>
      </c>
      <c r="H73" s="2" t="str">
        <f>IFERROR(VLOOKUP(C73,[1]Sheet1!$A:$D,4,0),"")</f>
        <v>https://s129144.cdn.mytvnet.vn/vimages/64/4e/ee/ef/fa/a7/64eef-phtv9hd-channel-unkn.png</v>
      </c>
      <c r="I73" s="2" t="str">
        <f>IFERROR(VLOOKUP(C73,[1]Sheet1!$A:$D,2,0),"")</f>
        <v>HTV9 HD</v>
      </c>
      <c r="J73" s="2" t="str">
        <f>IFERROR(VLOOKUP(C73,[1]Sheet1!$A:$D,3,0),"")</f>
        <v>rtp://232.84.1.224:9318</v>
      </c>
      <c r="K73" s="2" t="b">
        <f t="shared" si="2"/>
        <v>1</v>
      </c>
    </row>
    <row r="74" spans="1:11" ht="12.75" x14ac:dyDescent="0.2">
      <c r="A74" s="2">
        <v>73</v>
      </c>
      <c r="B74" s="2" t="s">
        <v>254</v>
      </c>
      <c r="C74" s="2">
        <v>12</v>
      </c>
      <c r="D74" s="2" t="s">
        <v>255</v>
      </c>
      <c r="E74" s="2">
        <v>52</v>
      </c>
      <c r="F74" s="2" t="s">
        <v>256</v>
      </c>
      <c r="G74" s="2" t="s">
        <v>257</v>
      </c>
      <c r="H74" s="2" t="str">
        <f>IFERROR(VLOOKUP(C74,[1]Sheet1!$A:$D,4,0),"")</f>
        <v>https://s129144.cdn.mytvnet.vn/vimages/b8/8b/bd/da/ae/eb/b8bda-phtvccanhchd-channel-unkn.png</v>
      </c>
      <c r="I74" s="2" t="str">
        <f>IFERROR(VLOOKUP(C74,[1]Sheet1!$A:$D,2,0),"")</f>
        <v>HTVC Ca Nhạc (HD)</v>
      </c>
      <c r="J74" s="2" t="str">
        <f>IFERROR(VLOOKUP(C74,[1]Sheet1!$A:$D,3,0),"")</f>
        <v>rtp://232.84.3.54:11728</v>
      </c>
      <c r="K74" s="2" t="b">
        <f t="shared" si="2"/>
        <v>1</v>
      </c>
    </row>
    <row r="75" spans="1:11" ht="12.75" x14ac:dyDescent="0.2">
      <c r="A75" s="2">
        <v>74</v>
      </c>
      <c r="B75" s="2" t="s">
        <v>258</v>
      </c>
      <c r="C75" s="2">
        <v>13</v>
      </c>
      <c r="D75" s="2" t="s">
        <v>259</v>
      </c>
      <c r="E75" s="2">
        <v>51</v>
      </c>
      <c r="F75" s="2" t="s">
        <v>260</v>
      </c>
      <c r="G75" s="2" t="s">
        <v>261</v>
      </c>
      <c r="H75" s="2" t="str">
        <f>IFERROR(VLOOKUP(C75,[1]Sheet1!$A:$D,4,0),"")</f>
        <v>https://s129144.cdn.mytvnet.vn/vimages/8d/d4/4a/a5/5f/fb/8d4a5-phtvcdulchcucsnghd-channel-unkn.png</v>
      </c>
      <c r="I75" s="2" t="str">
        <f>IFERROR(VLOOKUP(C75,[1]Sheet1!$A:$D,2,0),"")</f>
        <v>HTVC Du Lịch Cuộc Sống (HD)</v>
      </c>
      <c r="J75" s="2" t="str">
        <f>IFERROR(VLOOKUP(C75,[1]Sheet1!$A:$D,3,0),"")</f>
        <v>rtp://232.84.3.53:11734</v>
      </c>
      <c r="K75" s="2" t="b">
        <f t="shared" si="2"/>
        <v>1</v>
      </c>
    </row>
    <row r="76" spans="1:11" ht="12.75" x14ac:dyDescent="0.2">
      <c r="A76" s="2">
        <v>75</v>
      </c>
      <c r="B76" s="2" t="s">
        <v>262</v>
      </c>
      <c r="C76" s="2">
        <v>14</v>
      </c>
      <c r="D76" s="2" t="s">
        <v>263</v>
      </c>
      <c r="E76" s="2">
        <v>49</v>
      </c>
      <c r="F76" s="2" t="s">
        <v>264</v>
      </c>
      <c r="G76" s="2" t="s">
        <v>265</v>
      </c>
      <c r="H76" s="2" t="str">
        <f>IFERROR(VLOOKUP(C76,[1]Sheet1!$A:$D,4,0),"")</f>
        <v>https://s129144.cdn.mytvnet.vn/vimages/ba/a1/1c/c4/4a/a9/ba1c4-phtvcgianhhd-channel-unkn.png</v>
      </c>
      <c r="I76" s="2" t="str">
        <f>IFERROR(VLOOKUP(C76,[1]Sheet1!$A:$D,2,0),"")</f>
        <v>HTVC Gia Đình (HD)</v>
      </c>
      <c r="J76" s="2" t="str">
        <f>IFERROR(VLOOKUP(C76,[1]Sheet1!$A:$D,3,0),"")</f>
        <v>rtp://232.84.3.52:11740</v>
      </c>
      <c r="K76" s="2" t="b">
        <f t="shared" si="2"/>
        <v>1</v>
      </c>
    </row>
    <row r="77" spans="1:11" ht="12.75" x14ac:dyDescent="0.2">
      <c r="A77" s="2">
        <v>76</v>
      </c>
      <c r="B77" s="2" t="s">
        <v>266</v>
      </c>
      <c r="C77" s="2">
        <v>302</v>
      </c>
      <c r="D77" s="2" t="s">
        <v>267</v>
      </c>
      <c r="E77" s="2">
        <v>46</v>
      </c>
      <c r="F77" s="2" t="s">
        <v>268</v>
      </c>
      <c r="G77" s="2" t="s">
        <v>267</v>
      </c>
      <c r="H77" s="2" t="str">
        <f>IFERROR(VLOOKUP(C77,[1]Sheet1!$A:$D,4,0),"")</f>
        <v>https://s129144.cdn.mytvnet.vn/vimages/0f/f5/59/92/2f/f6/0f592-phtvcphimhd-channel-unkn.png</v>
      </c>
      <c r="I77" s="2" t="str">
        <f>IFERROR(VLOOKUP(C77,[1]Sheet1!$A:$D,2,0),"")</f>
        <v>HTVC Phim HD</v>
      </c>
      <c r="J77" s="2" t="str">
        <f>IFERROR(VLOOKUP(C77,[1]Sheet1!$A:$D,3,0),"")</f>
        <v>rtp://232.84.3.118:9594</v>
      </c>
      <c r="K77" s="2" t="b">
        <f t="shared" si="2"/>
        <v>1</v>
      </c>
    </row>
    <row r="78" spans="1:11" ht="12.75" x14ac:dyDescent="0.2">
      <c r="A78" s="2">
        <v>77</v>
      </c>
      <c r="B78" s="2" t="s">
        <v>269</v>
      </c>
      <c r="C78" s="2">
        <v>384</v>
      </c>
      <c r="D78" s="2" t="s">
        <v>270</v>
      </c>
      <c r="E78" s="2">
        <v>53</v>
      </c>
      <c r="F78" s="2" t="s">
        <v>271</v>
      </c>
      <c r="G78" s="2" t="s">
        <v>270</v>
      </c>
      <c r="H78" s="2" t="str">
        <f>IFERROR(VLOOKUP(C78,[1]Sheet1!$A:$D,4,0),"")</f>
        <v>https://s129144.cdn.mytvnet.vn/vimages/f0/0a/a3/31/1f/f3/f0a31-phtvcplushd-channel-unkn.png</v>
      </c>
      <c r="I78" s="2" t="str">
        <f>IFERROR(VLOOKUP(C78,[1]Sheet1!$A:$D,2,0),"")</f>
        <v>HTVC Plus HD</v>
      </c>
      <c r="J78" s="2" t="str">
        <f>IFERROR(VLOOKUP(C78,[1]Sheet1!$A:$D,3,0),"")</f>
        <v>rtp://232.84.3.245:11392</v>
      </c>
      <c r="K78" s="2" t="b">
        <f t="shared" si="2"/>
        <v>1</v>
      </c>
    </row>
    <row r="79" spans="1:11" ht="12.75" x14ac:dyDescent="0.2">
      <c r="A79" s="2">
        <v>78</v>
      </c>
      <c r="B79" s="2" t="s">
        <v>272</v>
      </c>
      <c r="C79" s="2">
        <v>168</v>
      </c>
      <c r="D79" s="2" t="s">
        <v>273</v>
      </c>
      <c r="E79" s="2">
        <v>162</v>
      </c>
      <c r="F79" s="2" t="s">
        <v>274</v>
      </c>
      <c r="G79" s="2" t="s">
        <v>273</v>
      </c>
      <c r="H79" s="2" t="str">
        <f>IFERROR(VLOOKUP(C79,[1]Sheet1!$A:$D,4,0),"")</f>
        <v>https://s129144.cdn.mytvnet.vn/vimages/cf/f6/63/3e/e7/70/cf63e-phutv-channel-unkn.png</v>
      </c>
      <c r="I79" s="2" t="str">
        <f>IFERROR(VLOOKUP(C79,[1]Sheet1!$A:$D,2,0),"")</f>
        <v>Huế TV</v>
      </c>
      <c r="J79" s="2" t="str">
        <f>IFERROR(VLOOKUP(C79,[1]Sheet1!$A:$D,3,0),"")</f>
        <v>rtp://232.84.2.106:9120</v>
      </c>
      <c r="K79" s="2" t="b">
        <f t="shared" si="2"/>
        <v>1</v>
      </c>
    </row>
    <row r="80" spans="1:11" ht="12.75" x14ac:dyDescent="0.2">
      <c r="A80" s="2">
        <v>79</v>
      </c>
      <c r="B80" s="2" t="s">
        <v>275</v>
      </c>
      <c r="C80" s="2">
        <v>408</v>
      </c>
      <c r="D80" s="2" t="s">
        <v>276</v>
      </c>
      <c r="E80" s="2">
        <v>163</v>
      </c>
      <c r="F80" s="2" t="s">
        <v>277</v>
      </c>
      <c r="G80" s="2" t="s">
        <v>278</v>
      </c>
      <c r="H80" s="2" t="str">
        <f>IFERROR(VLOOKUP(C80,[1]Sheet1!$A:$D,4,0),"")</f>
        <v>https://s129144.cdn.mytvnet.vn/vimages/11/14/40/0e/e5/54/1140e-phngyntvhd-channel-unkn.png</v>
      </c>
      <c r="I80" s="2" t="str">
        <f>IFERROR(VLOOKUP(C80,[1]Sheet1!$A:$D,2,0),"")</f>
        <v>Hưng Yên TV HD</v>
      </c>
      <c r="J80" s="2" t="str">
        <f>IFERROR(VLOOKUP(C80,[1]Sheet1!$A:$D,3,0),"")</f>
        <v>rtp://232.84.3.110:10786</v>
      </c>
      <c r="K80" s="2" t="b">
        <f t="shared" si="2"/>
        <v>1</v>
      </c>
    </row>
    <row r="81" spans="1:11" ht="12.75" x14ac:dyDescent="0.2">
      <c r="A81" s="2">
        <v>80</v>
      </c>
      <c r="B81" s="2" t="s">
        <v>279</v>
      </c>
      <c r="C81" s="2">
        <v>195</v>
      </c>
      <c r="D81" s="2" t="s">
        <v>280</v>
      </c>
      <c r="E81" s="2">
        <v>13</v>
      </c>
      <c r="F81" s="2" t="s">
        <v>281</v>
      </c>
      <c r="G81" s="2" t="s">
        <v>282</v>
      </c>
      <c r="H81" s="2" t="str">
        <f>IFERROR(VLOOKUP(C81,[1]Sheet1!$A:$D,4,0),"")</f>
        <v>https://s129144.cdn.mytvnet.vn/vimages/eb/b5/53/39/94/4e/eb539-pkaction-channel-unkn.png</v>
      </c>
      <c r="I81" s="2" t="str">
        <f>IFERROR(VLOOKUP(C81,[1]Sheet1!$A:$D,2,0),"")</f>
        <v>K+ ACTION</v>
      </c>
      <c r="J81" s="2" t="str">
        <f>IFERROR(VLOOKUP(C81,[1]Sheet1!$A:$D,3,0),"")</f>
        <v>rtp://232.84.1.97:8556</v>
      </c>
      <c r="K81" s="2" t="b">
        <f t="shared" si="2"/>
        <v>1</v>
      </c>
    </row>
    <row r="82" spans="1:11" ht="12.75" x14ac:dyDescent="0.2">
      <c r="A82" s="2">
        <v>81</v>
      </c>
      <c r="B82" s="2" t="s">
        <v>283</v>
      </c>
      <c r="C82" s="2">
        <v>230</v>
      </c>
      <c r="D82" s="2" t="s">
        <v>284</v>
      </c>
      <c r="E82" s="2">
        <v>13</v>
      </c>
      <c r="F82" s="2" t="s">
        <v>281</v>
      </c>
      <c r="G82" s="2" t="s">
        <v>282</v>
      </c>
      <c r="H82" s="2" t="str">
        <f>IFERROR(VLOOKUP(C82,[1]Sheet1!$A:$D,4,0),"")</f>
        <v>https://s129144.cdn.mytvnet.vn/vimages/8c/cd/d6/67/73/3d/8cd67-pkactionhd-channel-unkn.png</v>
      </c>
      <c r="I82" s="2" t="str">
        <f>IFERROR(VLOOKUP(C82,[1]Sheet1!$A:$D,2,0),"")</f>
        <v>K+ ACTION (HD)</v>
      </c>
      <c r="J82" s="2" t="str">
        <f>IFERROR(VLOOKUP(C82,[1]Sheet1!$A:$D,3,0),"")</f>
        <v>rtp://232.84.1.33:8172</v>
      </c>
      <c r="K82" s="2" t="b">
        <f t="shared" si="2"/>
        <v>1</v>
      </c>
    </row>
    <row r="83" spans="1:11" ht="12.75" x14ac:dyDescent="0.2">
      <c r="A83" s="2">
        <v>82</v>
      </c>
      <c r="B83" s="2" t="s">
        <v>285</v>
      </c>
      <c r="C83" s="2">
        <v>194</v>
      </c>
      <c r="D83" s="2" t="s">
        <v>286</v>
      </c>
      <c r="E83" s="2">
        <v>12</v>
      </c>
      <c r="F83" s="2" t="s">
        <v>287</v>
      </c>
      <c r="G83" s="2" t="s">
        <v>288</v>
      </c>
      <c r="H83" s="2" t="str">
        <f>IFERROR(VLOOKUP(C83,[1]Sheet1!$A:$D,4,0),"")</f>
        <v>https://s129144.cdn.mytvnet.vn/vimages/ac/cd/dc/ce/e2/2d/acdce-pkcine-channel-unkn.png</v>
      </c>
      <c r="I83" s="2" t="str">
        <f>IFERROR(VLOOKUP(C83,[1]Sheet1!$A:$D,2,0),"")</f>
        <v>K+ CINE</v>
      </c>
      <c r="J83" s="2" t="str">
        <f>IFERROR(VLOOKUP(C83,[1]Sheet1!$A:$D,3,0),"")</f>
        <v>rtp://232.84.1.96:8550</v>
      </c>
      <c r="K83" s="2" t="b">
        <f t="shared" si="2"/>
        <v>1</v>
      </c>
    </row>
    <row r="84" spans="1:11" ht="12.75" x14ac:dyDescent="0.2">
      <c r="A84" s="2">
        <v>83</v>
      </c>
      <c r="B84" s="2" t="s">
        <v>289</v>
      </c>
      <c r="C84" s="2">
        <v>228</v>
      </c>
      <c r="D84" s="2" t="s">
        <v>290</v>
      </c>
      <c r="E84" s="2">
        <v>12</v>
      </c>
      <c r="F84" s="2" t="s">
        <v>287</v>
      </c>
      <c r="G84" s="2" t="s">
        <v>288</v>
      </c>
      <c r="H84" s="2" t="str">
        <f>IFERROR(VLOOKUP(C84,[1]Sheet1!$A:$D,4,0),"")</f>
        <v>https://s129144.cdn.mytvnet.vn/vimages/45/57/73/36/6a/a5/45736-pkcinehd-channel-unkn.png</v>
      </c>
      <c r="I84" s="2" t="str">
        <f>IFERROR(VLOOKUP(C84,[1]Sheet1!$A:$D,2,0),"")</f>
        <v>K+ CINE (HD)</v>
      </c>
      <c r="J84" s="2" t="str">
        <f>IFERROR(VLOOKUP(C84,[1]Sheet1!$A:$D,3,0),"")</f>
        <v>rtp://232.84.1.38:8202</v>
      </c>
      <c r="K84" s="2" t="b">
        <f t="shared" si="2"/>
        <v>1</v>
      </c>
    </row>
    <row r="85" spans="1:11" ht="12.75" x14ac:dyDescent="0.2">
      <c r="A85" s="2">
        <v>84</v>
      </c>
      <c r="B85" s="2" t="s">
        <v>291</v>
      </c>
      <c r="C85" s="2">
        <v>751</v>
      </c>
      <c r="D85" s="2" t="s">
        <v>292</v>
      </c>
      <c r="E85" s="2">
        <v>16</v>
      </c>
      <c r="F85" s="2" t="s">
        <v>293</v>
      </c>
      <c r="G85" s="2" t="s">
        <v>294</v>
      </c>
      <c r="H85" s="2" t="str">
        <f>IFERROR(VLOOKUP(C85,[1]Sheet1!$A:$D,4,0),"")</f>
        <v>https://s129144.cdn.mytvnet.vn/vimages/41/1f/fc/cf/f4/4c/41fcf-pkkids-channel-unkn.png</v>
      </c>
      <c r="I85" s="2" t="str">
        <f>IFERROR(VLOOKUP(C85,[1]Sheet1!$A:$D,2,0),"")</f>
        <v>K+ Kids</v>
      </c>
      <c r="J85" s="2" t="str">
        <f>IFERROR(VLOOKUP(C85,[1]Sheet1!$A:$D,3,0),"")</f>
        <v>rtp://232.84.3.42:11800</v>
      </c>
      <c r="K85" s="2" t="b">
        <f t="shared" si="2"/>
        <v>1</v>
      </c>
    </row>
    <row r="86" spans="1:11" ht="12.75" x14ac:dyDescent="0.2">
      <c r="A86" s="2">
        <v>85</v>
      </c>
      <c r="B86" s="2" t="s">
        <v>295</v>
      </c>
      <c r="C86" s="2">
        <v>748</v>
      </c>
      <c r="D86" s="2" t="s">
        <v>296</v>
      </c>
      <c r="E86" s="2">
        <v>16</v>
      </c>
      <c r="F86" s="2" t="s">
        <v>293</v>
      </c>
      <c r="G86" s="2" t="s">
        <v>294</v>
      </c>
      <c r="H86" s="2" t="str">
        <f>IFERROR(VLOOKUP(C86,[1]Sheet1!$A:$D,4,0),"")</f>
        <v>https://s129144.cdn.mytvnet.vn/vimages/72/2a/a2/24/48/81/72a24-pkkidshd-channel-unkn.png</v>
      </c>
      <c r="I86" s="2" t="str">
        <f>IFERROR(VLOOKUP(C86,[1]Sheet1!$A:$D,2,0),"")</f>
        <v>K+ Kids (HD)</v>
      </c>
      <c r="J86" s="2" t="str">
        <f>IFERROR(VLOOKUP(C86,[1]Sheet1!$A:$D,3,0),"")</f>
        <v>rtp://232.84.3.42:11800</v>
      </c>
      <c r="K86" s="2" t="b">
        <f t="shared" si="2"/>
        <v>1</v>
      </c>
    </row>
    <row r="87" spans="1:11" ht="12.75" x14ac:dyDescent="0.2">
      <c r="A87" s="2">
        <v>86</v>
      </c>
      <c r="B87" s="2" t="s">
        <v>297</v>
      </c>
      <c r="C87" s="2">
        <v>196</v>
      </c>
      <c r="D87" s="2" t="s">
        <v>298</v>
      </c>
      <c r="E87" s="2">
        <v>14</v>
      </c>
      <c r="F87" s="2" t="s">
        <v>299</v>
      </c>
      <c r="G87" s="2" t="s">
        <v>300</v>
      </c>
      <c r="H87" s="2" t="str">
        <f>IFERROR(VLOOKUP(C87,[1]Sheet1!$A:$D,4,0),"")</f>
        <v>https://s129144.cdn.mytvnet.vn/vimages/cc/cb/b9/9d/da/a4/ccb9d-pksport1-channel-unkn.png</v>
      </c>
      <c r="I87" s="2" t="str">
        <f>IFERROR(VLOOKUP(C87,[1]Sheet1!$A:$D,2,0),"")</f>
        <v>K+ SPORT1</v>
      </c>
      <c r="J87" s="2" t="str">
        <f>IFERROR(VLOOKUP(C87,[1]Sheet1!$A:$D,3,0),"")</f>
        <v>rtp://232.84.1.98:8562</v>
      </c>
      <c r="K87" s="2" t="b">
        <f t="shared" si="2"/>
        <v>1</v>
      </c>
    </row>
    <row r="88" spans="1:11" ht="12.75" x14ac:dyDescent="0.2">
      <c r="A88" s="2">
        <v>87</v>
      </c>
      <c r="B88" s="2" t="s">
        <v>301</v>
      </c>
      <c r="C88" s="2">
        <v>229</v>
      </c>
      <c r="D88" s="2" t="s">
        <v>302</v>
      </c>
      <c r="E88" s="2">
        <v>14</v>
      </c>
      <c r="F88" s="2" t="s">
        <v>299</v>
      </c>
      <c r="G88" s="2" t="s">
        <v>300</v>
      </c>
      <c r="H88" s="2" t="str">
        <f>IFERROR(VLOOKUP(C88,[1]Sheet1!$A:$D,4,0),"")</f>
        <v>https://s129144.cdn.mytvnet.vn/vimages/f0/00/01/17/7e/e7/f0017-pksport1hd-channel-unkn.png</v>
      </c>
      <c r="I88" s="2" t="str">
        <f>IFERROR(VLOOKUP(C88,[1]Sheet1!$A:$D,2,0),"")</f>
        <v>K+ SPORT1 (HD)</v>
      </c>
      <c r="J88" s="2" t="str">
        <f>IFERROR(VLOOKUP(C88,[1]Sheet1!$A:$D,3,0),"")</f>
        <v>rtp://232.84.1.37:8196</v>
      </c>
      <c r="K88" s="2" t="b">
        <f t="shared" si="2"/>
        <v>1</v>
      </c>
    </row>
    <row r="89" spans="1:11" ht="12.75" x14ac:dyDescent="0.2">
      <c r="A89" s="2">
        <v>88</v>
      </c>
      <c r="B89" s="2" t="s">
        <v>303</v>
      </c>
      <c r="C89" s="2">
        <v>249</v>
      </c>
      <c r="D89" s="2" t="s">
        <v>304</v>
      </c>
      <c r="E89" s="2">
        <v>15</v>
      </c>
      <c r="F89" s="2" t="s">
        <v>305</v>
      </c>
      <c r="G89" s="2" t="s">
        <v>306</v>
      </c>
      <c r="H89" s="2" t="str">
        <f>IFERROR(VLOOKUP(C89,[1]Sheet1!$A:$D,4,0),"")</f>
        <v>https://s129144.cdn.mytvnet.vn/vimages/78/87/7e/ec/cc/c0/787ec-pksport2-channel-unkn.png</v>
      </c>
      <c r="I89" s="2" t="str">
        <f>IFERROR(VLOOKUP(C89,[1]Sheet1!$A:$D,2,0),"")</f>
        <v>K+ SPORT2</v>
      </c>
      <c r="J89" s="2" t="str">
        <f>IFERROR(VLOOKUP(C89,[1]Sheet1!$A:$D,3,0),"")</f>
        <v>rtp://232.84.1.131:10368</v>
      </c>
      <c r="K89" s="2" t="b">
        <f t="shared" si="2"/>
        <v>1</v>
      </c>
    </row>
    <row r="90" spans="1:11" ht="12.75" x14ac:dyDescent="0.2">
      <c r="A90" s="2">
        <v>89</v>
      </c>
      <c r="B90" s="2" t="s">
        <v>307</v>
      </c>
      <c r="C90" s="2">
        <v>247</v>
      </c>
      <c r="D90" s="2" t="s">
        <v>308</v>
      </c>
      <c r="E90" s="2">
        <v>15</v>
      </c>
      <c r="F90" s="2" t="s">
        <v>305</v>
      </c>
      <c r="G90" s="2" t="s">
        <v>306</v>
      </c>
      <c r="H90" s="2" t="str">
        <f>IFERROR(VLOOKUP(C90,[1]Sheet1!$A:$D,4,0),"")</f>
        <v>https://s129144.cdn.mytvnet.vn/vimages/de/ee/ea/a2/2b/b7/deea2-pksport2hd-channel-unkn.png</v>
      </c>
      <c r="I90" s="2" t="str">
        <f>IFERROR(VLOOKUP(C90,[1]Sheet1!$A:$D,2,0),"")</f>
        <v>K+ SPORT2 (HD)</v>
      </c>
      <c r="J90" s="2" t="str">
        <f>IFERROR(VLOOKUP(C90,[1]Sheet1!$A:$D,3,0),"")</f>
        <v>rtp://232.84.1.34:8178</v>
      </c>
      <c r="K90" s="2" t="b">
        <f t="shared" si="2"/>
        <v>1</v>
      </c>
    </row>
    <row r="91" spans="1:11" ht="12.75" x14ac:dyDescent="0.2">
      <c r="A91" s="2">
        <v>90</v>
      </c>
      <c r="B91" s="2" t="s">
        <v>309</v>
      </c>
      <c r="C91" s="2">
        <v>306</v>
      </c>
      <c r="D91" s="2" t="s">
        <v>310</v>
      </c>
      <c r="E91" s="2">
        <v>93</v>
      </c>
      <c r="F91" s="2" t="s">
        <v>311</v>
      </c>
      <c r="G91" s="2" t="s">
        <v>310</v>
      </c>
      <c r="H91" s="2" t="str">
        <f>IFERROR(VLOOKUP(C91,[1]Sheet1!$A:$D,4,0),"")</f>
        <v>https://s129144.cdn.mytvnet.vn/vimages/82/2f/fb/b6/6d/d7/82fb6-pkbsworld-channel-unkn.png</v>
      </c>
      <c r="I91" s="2" t="str">
        <f>IFERROR(VLOOKUP(C91,[1]Sheet1!$A:$D,2,0),"")</f>
        <v>KBS World</v>
      </c>
      <c r="J91" s="2" t="str">
        <f>IFERROR(VLOOKUP(C91,[1]Sheet1!$A:$D,3,0),"")</f>
        <v>rtp://232.84.2.136:9612</v>
      </c>
      <c r="K91" s="2" t="b">
        <f t="shared" si="2"/>
        <v>1</v>
      </c>
    </row>
    <row r="92" spans="1:11" ht="12.75" x14ac:dyDescent="0.2">
      <c r="A92" s="2">
        <v>91</v>
      </c>
      <c r="B92" s="2" t="s">
        <v>312</v>
      </c>
      <c r="C92" s="2">
        <v>114</v>
      </c>
      <c r="D92" s="2" t="s">
        <v>313</v>
      </c>
      <c r="E92" s="2">
        <v>164</v>
      </c>
      <c r="F92" s="2" t="s">
        <v>314</v>
      </c>
      <c r="G92" s="2" t="s">
        <v>313</v>
      </c>
      <c r="H92" s="2" t="str">
        <f>IFERROR(VLOOKUP(C92,[1]Sheet1!$A:$D,4,0),"")</f>
        <v>https://s129144.cdn.mytvnet.vn/vimages/7e/e2/2d/d4/45/56/7e2d4-pkhnhha-channel-unkn.png</v>
      </c>
      <c r="I92" s="2" t="str">
        <f>IFERROR(VLOOKUP(C92,[1]Sheet1!$A:$D,2,0),"")</f>
        <v>Khánh Hòa</v>
      </c>
      <c r="J92" s="2" t="str">
        <f>IFERROR(VLOOKUP(C92,[1]Sheet1!$A:$D,3,0),"")</f>
        <v>rtp://232.84.2.99:8958</v>
      </c>
      <c r="K92" s="2" t="b">
        <f t="shared" si="2"/>
        <v>1</v>
      </c>
    </row>
    <row r="93" spans="1:11" ht="12.75" x14ac:dyDescent="0.2">
      <c r="A93" s="2">
        <v>92</v>
      </c>
      <c r="B93" s="2" t="s">
        <v>315</v>
      </c>
      <c r="C93" s="2">
        <v>433</v>
      </c>
      <c r="D93" s="2" t="s">
        <v>316</v>
      </c>
      <c r="E93" s="2">
        <v>165</v>
      </c>
      <c r="F93" s="2" t="s">
        <v>317</v>
      </c>
      <c r="G93" s="2" t="s">
        <v>316</v>
      </c>
      <c r="H93" s="2" t="str">
        <f>IFERROR(VLOOKUP(C93,[1]Sheet1!$A:$D,4,0),"")</f>
        <v>https://s129144.cdn.mytvnet.vn/vimages/7d/d7/74/42/2c/c4/7d742-pangiang1-channel-unkn.png</v>
      </c>
      <c r="I93" s="2" t="str">
        <f>IFERROR(VLOOKUP(C93,[1]Sheet1!$A:$D,2,0),"")</f>
        <v>An Giang 1</v>
      </c>
      <c r="J93" s="2" t="str">
        <f>IFERROR(VLOOKUP(C93,[1]Sheet1!$A:$D,3,0),"")</f>
        <v>rtp://232.84.3.161:10918</v>
      </c>
      <c r="K93" s="2" t="b">
        <f t="shared" si="2"/>
        <v>1</v>
      </c>
    </row>
    <row r="94" spans="1:11" ht="12.75" x14ac:dyDescent="0.2">
      <c r="A94" s="2">
        <v>93</v>
      </c>
      <c r="B94" s="2" t="s">
        <v>318</v>
      </c>
      <c r="C94" s="2">
        <v>173</v>
      </c>
      <c r="D94" s="2" t="s">
        <v>319</v>
      </c>
      <c r="E94" s="2">
        <v>166</v>
      </c>
      <c r="F94" s="2" t="s">
        <v>320</v>
      </c>
      <c r="G94" s="2" t="s">
        <v>321</v>
      </c>
      <c r="H94" s="2" t="str">
        <f>IFERROR(VLOOKUP(C94,[1]Sheet1!$A:$D,4,0),"")</f>
        <v>https://s129144.cdn.mytvnet.vn/vimages/82/2b/bf/fa/a1/10/82bfa-pkontumtv-channel-unkn.png</v>
      </c>
      <c r="I94" s="2" t="str">
        <f>IFERROR(VLOOKUP(C94,[1]Sheet1!$A:$D,2,0),"")</f>
        <v>KonTum TV</v>
      </c>
      <c r="J94" s="2" t="str">
        <f>IFERROR(VLOOKUP(C94,[1]Sheet1!$A:$D,3,0),"")</f>
        <v>rtp://232.84.3.80:11572</v>
      </c>
      <c r="K94" s="2" t="b">
        <f t="shared" si="2"/>
        <v>1</v>
      </c>
    </row>
    <row r="95" spans="1:11" ht="12.75" x14ac:dyDescent="0.2">
      <c r="A95" s="2">
        <v>94</v>
      </c>
      <c r="B95" s="2" t="s">
        <v>322</v>
      </c>
      <c r="C95" s="2">
        <v>156</v>
      </c>
      <c r="D95" s="2" t="s">
        <v>323</v>
      </c>
      <c r="E95" s="2">
        <v>167</v>
      </c>
      <c r="F95" s="2" t="s">
        <v>324</v>
      </c>
      <c r="G95" s="2" t="s">
        <v>325</v>
      </c>
      <c r="H95" s="2" t="str">
        <f>IFERROR(VLOOKUP(C95,[1]Sheet1!$A:$D,4,0),"")</f>
        <v>https://s129144.cdn.mytvnet.vn/vimages/17/75/5b/b5/54/4f/175b5-plaichutv-channel-unkn.png</v>
      </c>
      <c r="I95" s="2" t="str">
        <f>IFERROR(VLOOKUP(C95,[1]Sheet1!$A:$D,2,0),"")</f>
        <v>Lai Châu TV</v>
      </c>
      <c r="J95" s="2" t="str">
        <f>IFERROR(VLOOKUP(C95,[1]Sheet1!$A:$D,3,0),"")</f>
        <v>rtp://232.84.3.133:9174</v>
      </c>
      <c r="K95" s="2" t="b">
        <f t="shared" si="2"/>
        <v>1</v>
      </c>
    </row>
    <row r="96" spans="1:11" ht="12.75" x14ac:dyDescent="0.2">
      <c r="A96" s="2">
        <v>95</v>
      </c>
      <c r="B96" s="2" t="s">
        <v>326</v>
      </c>
      <c r="C96" s="2">
        <v>164</v>
      </c>
      <c r="D96" s="2" t="s">
        <v>327</v>
      </c>
      <c r="E96" s="2">
        <v>168</v>
      </c>
      <c r="F96" s="2" t="s">
        <v>328</v>
      </c>
      <c r="G96" s="2" t="s">
        <v>327</v>
      </c>
      <c r="H96" s="2" t="str">
        <f>IFERROR(VLOOKUP(C96,[1]Sheet1!$A:$D,4,0),"")</f>
        <v>https://s129144.cdn.mytvnet.vn/vimages/d1/16/6c/c0/0b/bd/d16c0-plmngtv1-channel-unkn.png</v>
      </c>
      <c r="I96" s="2" t="str">
        <f>IFERROR(VLOOKUP(C96,[1]Sheet1!$A:$D,2,0),"")</f>
        <v>Lâm Đồng TV1</v>
      </c>
      <c r="J96" s="2" t="str">
        <f>IFERROR(VLOOKUP(C96,[1]Sheet1!$A:$D,3,0),"")</f>
        <v>rtp://232.84.3.58:11704</v>
      </c>
      <c r="K96" s="2" t="b">
        <f t="shared" si="2"/>
        <v>1</v>
      </c>
    </row>
    <row r="97" spans="1:11" ht="12.75" x14ac:dyDescent="0.2">
      <c r="A97" s="2">
        <v>96</v>
      </c>
      <c r="B97" s="2" t="s">
        <v>329</v>
      </c>
      <c r="C97" s="2">
        <v>193</v>
      </c>
      <c r="D97" s="2" t="s">
        <v>330</v>
      </c>
      <c r="E97" s="2">
        <v>169</v>
      </c>
      <c r="F97" s="2" t="s">
        <v>331</v>
      </c>
      <c r="G97" s="2" t="s">
        <v>332</v>
      </c>
      <c r="H97" s="2" t="str">
        <f>IFERROR(VLOOKUP(C97,[1]Sheet1!$A:$D,4,0),"")</f>
        <v>https://s129144.cdn.mytvnet.vn/vimages/0a/ab/b3/38/88/8d/0ab38-plngsntvhd-channel-unkn.png</v>
      </c>
      <c r="I97" s="2" t="str">
        <f>IFERROR(VLOOKUP(C97,[1]Sheet1!$A:$D,2,0),"")</f>
        <v>Lạng Sơn TV HD</v>
      </c>
      <c r="J97" s="2" t="str">
        <f>IFERROR(VLOOKUP(C97,[1]Sheet1!$A:$D,3,0),"")</f>
        <v>rtp://232.84.3.203:11140</v>
      </c>
      <c r="K97" s="2" t="b">
        <f t="shared" si="2"/>
        <v>1</v>
      </c>
    </row>
    <row r="98" spans="1:11" ht="12.75" x14ac:dyDescent="0.2">
      <c r="A98" s="2">
        <v>97</v>
      </c>
      <c r="B98" s="2" t="s">
        <v>333</v>
      </c>
      <c r="C98" s="2">
        <v>116</v>
      </c>
      <c r="D98" s="2" t="s">
        <v>334</v>
      </c>
      <c r="E98" s="2">
        <v>170</v>
      </c>
      <c r="F98" s="2" t="s">
        <v>335</v>
      </c>
      <c r="G98" s="2" t="s">
        <v>336</v>
      </c>
      <c r="H98" s="2" t="str">
        <f>IFERROR(VLOOKUP(C98,[1]Sheet1!$A:$D,4,0),"")</f>
        <v>https://s129144.cdn.mytvnet.vn/vimages/e6/64/49/95/59/99/e6495-plocaitv-channel-unkn.png</v>
      </c>
      <c r="I98" s="2" t="str">
        <f>IFERROR(VLOOKUP(C98,[1]Sheet1!$A:$D,2,0),"")</f>
        <v>Lào Cai TV</v>
      </c>
      <c r="J98" s="2" t="str">
        <f>IFERROR(VLOOKUP(C98,[1]Sheet1!$A:$D,3,0),"")</f>
        <v>rtp://232.84.2.93:8718</v>
      </c>
      <c r="K98" s="2" t="b">
        <f t="shared" ref="K98:K129" si="3">D98=I98</f>
        <v>1</v>
      </c>
    </row>
    <row r="99" spans="1:11" ht="12.75" x14ac:dyDescent="0.2">
      <c r="A99" s="2">
        <v>98</v>
      </c>
      <c r="B99" s="2" t="s">
        <v>337</v>
      </c>
      <c r="C99" s="2">
        <v>47</v>
      </c>
      <c r="D99" s="2" t="s">
        <v>338</v>
      </c>
      <c r="E99" s="2">
        <v>171</v>
      </c>
      <c r="F99" s="2" t="s">
        <v>339</v>
      </c>
      <c r="G99" s="2" t="s">
        <v>338</v>
      </c>
      <c r="H99" s="2" t="str">
        <f>IFERROR(VLOOKUP(C99,[1]Sheet1!$A:$D,4,0),"")</f>
        <v>https://s129144.cdn.mytvnet.vn/vimages/b4/4e/e6/63/34/4f/b4e63-ptyninh1-channel-unkn.png</v>
      </c>
      <c r="I99" s="2" t="str">
        <f>IFERROR(VLOOKUP(C99,[1]Sheet1!$A:$D,2,0),"")</f>
        <v>Tây Ninh 1</v>
      </c>
      <c r="J99" s="2" t="str">
        <f>IFERROR(VLOOKUP(C99,[1]Sheet1!$A:$D,3,0),"")</f>
        <v>rtp://232.84.1.171:9000</v>
      </c>
      <c r="K99" s="2" t="b">
        <f t="shared" si="3"/>
        <v>1</v>
      </c>
    </row>
    <row r="100" spans="1:11" ht="12.75" x14ac:dyDescent="0.2">
      <c r="A100" s="2">
        <v>99</v>
      </c>
      <c r="B100" s="2" t="s">
        <v>340</v>
      </c>
      <c r="C100" s="2">
        <v>69</v>
      </c>
      <c r="D100" s="2" t="s">
        <v>341</v>
      </c>
      <c r="E100" s="2">
        <v>103</v>
      </c>
      <c r="F100" s="2" t="s">
        <v>342</v>
      </c>
      <c r="G100" s="2" t="s">
        <v>343</v>
      </c>
      <c r="H100" s="2" t="str">
        <f>IFERROR(VLOOKUP(C100,[1]Sheet1!$A:$D,4,0),"")</f>
        <v>https://s129144.cdn.mytvnet.vn/vimages/ab/bd/d3/3e/e6/64/abd3e-pmusicboxhd-channel-unkn.png</v>
      </c>
      <c r="I100" s="2" t="str">
        <f>IFERROR(VLOOKUP(C100,[1]Sheet1!$A:$D,2,0),"")</f>
        <v>Music Box (HD)</v>
      </c>
      <c r="J100" s="2" t="str">
        <f>IFERROR(VLOOKUP(C100,[1]Sheet1!$A:$D,3,0),"")</f>
        <v>rtp://232.84.1.13:8052</v>
      </c>
      <c r="K100" s="2" t="b">
        <f t="shared" si="3"/>
        <v>1</v>
      </c>
    </row>
    <row r="101" spans="1:11" ht="12.75" x14ac:dyDescent="0.2">
      <c r="A101" s="2">
        <v>100</v>
      </c>
      <c r="B101" s="2" t="s">
        <v>344</v>
      </c>
      <c r="C101" s="2">
        <v>149</v>
      </c>
      <c r="D101" s="2" t="s">
        <v>345</v>
      </c>
      <c r="E101" s="2">
        <v>172</v>
      </c>
      <c r="F101" s="2" t="s">
        <v>346</v>
      </c>
      <c r="G101" s="2" t="s">
        <v>347</v>
      </c>
      <c r="H101" s="2" t="str">
        <f>IFERROR(VLOOKUP(C101,[1]Sheet1!$A:$D,4,0),"")</f>
        <v>https://s129144.cdn.mytvnet.vn/vimages/75/58/8c/c5/50/0e/758c5-pnamnhtv-channel-unkn.png</v>
      </c>
      <c r="I101" s="2" t="str">
        <f>IFERROR(VLOOKUP(C101,[1]Sheet1!$A:$D,2,0),"")</f>
        <v>Nam Định TV</v>
      </c>
      <c r="J101" s="2" t="str">
        <f>IFERROR(VLOOKUP(C101,[1]Sheet1!$A:$D,3,0),"")</f>
        <v>rtp://232.84.3.119:9006</v>
      </c>
      <c r="K101" s="2" t="b">
        <f t="shared" si="3"/>
        <v>1</v>
      </c>
    </row>
    <row r="102" spans="1:11" ht="12.75" x14ac:dyDescent="0.2">
      <c r="A102" s="2">
        <v>101</v>
      </c>
      <c r="B102" s="2" t="s">
        <v>348</v>
      </c>
      <c r="C102" s="2">
        <v>453</v>
      </c>
      <c r="D102" s="2" t="s">
        <v>349</v>
      </c>
      <c r="E102" s="2">
        <v>173</v>
      </c>
      <c r="F102" s="2" t="s">
        <v>350</v>
      </c>
      <c r="G102" s="2" t="s">
        <v>351</v>
      </c>
      <c r="H102" s="2" t="str">
        <f>IFERROR(VLOOKUP(C102,[1]Sheet1!$A:$D,4,0),"")</f>
        <v>https://s129144.cdn.mytvnet.vn/vimages/c0/04/40/0b/ba/ad/c040b-pnghanhd-channel-unkn.png</v>
      </c>
      <c r="I102" s="2" t="str">
        <f>IFERROR(VLOOKUP(C102,[1]Sheet1!$A:$D,2,0),"")</f>
        <v>Nghệ An (HD)</v>
      </c>
      <c r="J102" s="2" t="str">
        <f>IFERROR(VLOOKUP(C102,[1]Sheet1!$A:$D,3,0),"")</f>
        <v>rtp://232.84.2.198:10972</v>
      </c>
      <c r="K102" s="2" t="b">
        <f t="shared" si="3"/>
        <v>1</v>
      </c>
    </row>
    <row r="103" spans="1:11" ht="12.75" x14ac:dyDescent="0.2">
      <c r="A103" s="2">
        <v>102</v>
      </c>
      <c r="B103" s="2" t="s">
        <v>352</v>
      </c>
      <c r="C103" s="2">
        <v>185</v>
      </c>
      <c r="D103" s="2" t="s">
        <v>353</v>
      </c>
      <c r="E103" s="2">
        <v>114</v>
      </c>
      <c r="F103" s="2" t="s">
        <v>354</v>
      </c>
      <c r="G103" s="2" t="s">
        <v>355</v>
      </c>
      <c r="H103" s="2" t="str">
        <f>IFERROR(VLOOKUP(C103,[1]Sheet1!$A:$D,4,0),"")</f>
        <v>https://s129144.cdn.mytvnet.vn/vimages/6a/a4/46/6f/f0/0f/6a46f-pnhkworldjapanhd-channel-unkn.png</v>
      </c>
      <c r="I103" s="2" t="str">
        <f>IFERROR(VLOOKUP(C103,[1]Sheet1!$A:$D,2,0),"")</f>
        <v>NHK World Japan HD</v>
      </c>
      <c r="J103" s="2" t="str">
        <f>IFERROR(VLOOKUP(C103,[1]Sheet1!$A:$D,3,0),"")</f>
        <v>rtp://232.84.1.72:8406</v>
      </c>
      <c r="K103" s="2" t="b">
        <f t="shared" si="3"/>
        <v>1</v>
      </c>
    </row>
    <row r="104" spans="1:11" ht="12.75" x14ac:dyDescent="0.2">
      <c r="A104" s="2">
        <v>103</v>
      </c>
      <c r="B104" s="2" t="s">
        <v>356</v>
      </c>
      <c r="C104" s="2">
        <v>160</v>
      </c>
      <c r="D104" s="2" t="s">
        <v>357</v>
      </c>
      <c r="E104" s="2">
        <v>174</v>
      </c>
      <c r="F104" s="2" t="s">
        <v>358</v>
      </c>
      <c r="G104" s="2" t="s">
        <v>359</v>
      </c>
      <c r="H104" s="2" t="str">
        <f>IFERROR(VLOOKUP(C104,[1]Sheet1!$A:$D,4,0),"")</f>
        <v>https://s129144.cdn.mytvnet.vn/vimages/e9/97/7f/fb/be/e9/e97fb-pninhbnhtv-channel-unkn.png</v>
      </c>
      <c r="I104" s="2" t="str">
        <f>IFERROR(VLOOKUP(C104,[1]Sheet1!$A:$D,2,0),"")</f>
        <v>Ninh Bình TV</v>
      </c>
      <c r="J104" s="2" t="str">
        <f>IFERROR(VLOOKUP(C104,[1]Sheet1!$A:$D,3,0),"")</f>
        <v>rtp://232.84.3.89:11518</v>
      </c>
      <c r="K104" s="2" t="b">
        <f t="shared" si="3"/>
        <v>1</v>
      </c>
    </row>
    <row r="105" spans="1:11" ht="12.75" x14ac:dyDescent="0.2">
      <c r="A105" s="2">
        <v>104</v>
      </c>
      <c r="B105" s="2" t="s">
        <v>360</v>
      </c>
      <c r="C105" s="2">
        <v>176</v>
      </c>
      <c r="D105" s="2" t="s">
        <v>361</v>
      </c>
      <c r="E105" s="2">
        <v>175</v>
      </c>
      <c r="F105" s="2" t="s">
        <v>362</v>
      </c>
      <c r="G105" s="2" t="s">
        <v>361</v>
      </c>
      <c r="H105" s="2" t="str">
        <f>IFERROR(VLOOKUP(C105,[1]Sheet1!$A:$D,4,0),"")</f>
        <v>https://s129144.cdn.mytvnet.vn/vimages/a0/0b/bf/fd/d6/6e/a0bfd-pkhnhha1-channel-unkn.png</v>
      </c>
      <c r="I105" s="2" t="str">
        <f>IFERROR(VLOOKUP(C105,[1]Sheet1!$A:$D,2,0),"")</f>
        <v>Khánh Hòa 1</v>
      </c>
      <c r="J105" s="2" t="str">
        <f>IFERROR(VLOOKUP(C105,[1]Sheet1!$A:$D,3,0),"")</f>
        <v>rtp://232.84.2.74:9024</v>
      </c>
      <c r="K105" s="2" t="b">
        <f t="shared" si="3"/>
        <v>1</v>
      </c>
    </row>
    <row r="106" spans="1:11" ht="12.75" x14ac:dyDescent="0.2">
      <c r="A106" s="2">
        <v>105</v>
      </c>
      <c r="B106" s="2" t="s">
        <v>363</v>
      </c>
      <c r="C106" s="2">
        <v>205</v>
      </c>
      <c r="D106" s="2" t="s">
        <v>364</v>
      </c>
      <c r="E106" s="2">
        <v>24</v>
      </c>
      <c r="F106" s="2" t="s">
        <v>365</v>
      </c>
      <c r="G106" s="2" t="s">
        <v>366</v>
      </c>
      <c r="H106" s="2" t="str">
        <f>IFERROR(VLOOKUP(C106,[1]Sheet1!$A:$D,4,0),"")</f>
        <v>https://s129144.cdn.mytvnet.vn/vimages/b4/43/30/0a/ac/cb/b430a-ponbibihd-channel-unkn.png</v>
      </c>
      <c r="I106" s="2" t="str">
        <f>IFERROR(VLOOKUP(C106,[1]Sheet1!$A:$D,2,0),"")</f>
        <v>ON Bibi HD</v>
      </c>
      <c r="J106" s="2" t="str">
        <f>IFERROR(VLOOKUP(C106,[1]Sheet1!$A:$D,3,0),"")</f>
        <v>rtp://232.84.3.217:11224</v>
      </c>
      <c r="K106" s="2" t="b">
        <f t="shared" si="3"/>
        <v>1</v>
      </c>
    </row>
    <row r="107" spans="1:11" ht="12.75" x14ac:dyDescent="0.2">
      <c r="A107" s="2">
        <v>106</v>
      </c>
      <c r="B107" s="2" t="s">
        <v>367</v>
      </c>
      <c r="C107" s="2">
        <v>204</v>
      </c>
      <c r="D107" s="2" t="s">
        <v>368</v>
      </c>
      <c r="E107" s="2">
        <v>26</v>
      </c>
      <c r="F107" s="2" t="s">
        <v>369</v>
      </c>
      <c r="G107" s="2" t="s">
        <v>370</v>
      </c>
      <c r="H107" s="2" t="str">
        <f>IFERROR(VLOOKUP(C107,[1]Sheet1!$A:$D,4,0),"")</f>
        <v>https://s129144.cdn.mytvnet.vn/vimages/d5/5f/f5/53/33/33/d5f53-poncinehd-channel-unkn.png</v>
      </c>
      <c r="I107" s="2" t="str">
        <f>IFERROR(VLOOKUP(C107,[1]Sheet1!$A:$D,2,0),"")</f>
        <v>ON Cine HD</v>
      </c>
      <c r="J107" s="2" t="str">
        <f>IFERROR(VLOOKUP(C107,[1]Sheet1!$A:$D,3,0),"")</f>
        <v>rtp://232.84.3.72:11620</v>
      </c>
      <c r="K107" s="2" t="b">
        <f t="shared" si="3"/>
        <v>1</v>
      </c>
    </row>
    <row r="108" spans="1:11" ht="12.75" x14ac:dyDescent="0.2">
      <c r="A108" s="2">
        <v>107</v>
      </c>
      <c r="B108" s="2" t="s">
        <v>371</v>
      </c>
      <c r="C108" s="2">
        <v>202</v>
      </c>
      <c r="D108" s="2" t="s">
        <v>372</v>
      </c>
      <c r="E108" s="2">
        <v>21</v>
      </c>
      <c r="F108" s="2" t="s">
        <v>373</v>
      </c>
      <c r="G108" s="2" t="s">
        <v>374</v>
      </c>
      <c r="H108" s="2" t="str">
        <f>IFERROR(VLOOKUP(C108,[1]Sheet1!$A:$D,4,0),"")</f>
        <v>https://s129144.cdn.mytvnet.vn/vimages/7a/a9/95/5d/d5/5a/7a95d-ponechannel-channel-unkn.png</v>
      </c>
      <c r="I108" s="2" t="str">
        <f>IFERROR(VLOOKUP(C108,[1]Sheet1!$A:$D,2,0),"")</f>
        <v>ON E Channel</v>
      </c>
      <c r="J108" s="2" t="str">
        <f>IFERROR(VLOOKUP(C108,[1]Sheet1!$A:$D,3,0),"")</f>
        <v>rtp://232.84.3.76:11596</v>
      </c>
      <c r="K108" s="2" t="b">
        <f t="shared" si="3"/>
        <v>1</v>
      </c>
    </row>
    <row r="109" spans="1:11" ht="12.75" x14ac:dyDescent="0.2">
      <c r="A109" s="2">
        <v>108</v>
      </c>
      <c r="B109" s="2" t="s">
        <v>375</v>
      </c>
      <c r="C109" s="2">
        <v>208</v>
      </c>
      <c r="D109" s="2" t="s">
        <v>376</v>
      </c>
      <c r="E109" s="2">
        <v>29</v>
      </c>
      <c r="F109" s="2" t="s">
        <v>377</v>
      </c>
      <c r="G109" s="2" t="s">
        <v>378</v>
      </c>
      <c r="H109" s="2" t="str">
        <f>IFERROR(VLOOKUP(C109,[1]Sheet1!$A:$D,4,0),"")</f>
        <v>https://s129144.cdn.mytvnet.vn/vimages/b7/78/8b/b7/7e/e5/b78b7-ponfootballhd-channel-unkn.png</v>
      </c>
      <c r="I109" s="2" t="str">
        <f>IFERROR(VLOOKUP(C109,[1]Sheet1!$A:$D,2,0),"")</f>
        <v>ON Football (HD)</v>
      </c>
      <c r="J109" s="2" t="str">
        <f>IFERROR(VLOOKUP(C109,[1]Sheet1!$A:$D,3,0),"")</f>
        <v>rtp://232.84.1.210:9234</v>
      </c>
      <c r="K109" s="2" t="b">
        <f t="shared" si="3"/>
        <v>1</v>
      </c>
    </row>
    <row r="110" spans="1:11" ht="12.75" x14ac:dyDescent="0.2">
      <c r="A110" s="2">
        <v>109</v>
      </c>
      <c r="B110" s="2" t="s">
        <v>379</v>
      </c>
      <c r="C110" s="2">
        <v>415</v>
      </c>
      <c r="D110" s="2" t="s">
        <v>380</v>
      </c>
      <c r="E110" s="2">
        <v>36</v>
      </c>
      <c r="F110" s="2" t="s">
        <v>381</v>
      </c>
      <c r="G110" s="2" t="s">
        <v>380</v>
      </c>
      <c r="H110" s="2" t="str">
        <f>IFERROR(VLOOKUP(C110,[1]Sheet1!$A:$D,4,0),"")</f>
        <v>https://s129144.cdn.mytvnet.vn/vimages/5a/a1/16/6f/f7/78/5a16f-pongolf-channel-unkn.png</v>
      </c>
      <c r="I110" s="2" t="str">
        <f>IFERROR(VLOOKUP(C110,[1]Sheet1!$A:$D,2,0),"")</f>
        <v>ON Golf</v>
      </c>
      <c r="J110" s="2" t="str">
        <f>IFERROR(VLOOKUP(C110,[1]Sheet1!$A:$D,3,0),"")</f>
        <v>rtp://232.84.2.246:10876</v>
      </c>
      <c r="K110" s="2" t="b">
        <f t="shared" si="3"/>
        <v>1</v>
      </c>
    </row>
    <row r="111" spans="1:11" ht="12.75" x14ac:dyDescent="0.2">
      <c r="A111" s="2">
        <v>110</v>
      </c>
      <c r="B111" s="2" t="s">
        <v>382</v>
      </c>
      <c r="C111" s="2">
        <v>437</v>
      </c>
      <c r="D111" s="2" t="s">
        <v>383</v>
      </c>
      <c r="E111" s="2">
        <v>25</v>
      </c>
      <c r="F111" s="2" t="s">
        <v>384</v>
      </c>
      <c r="G111" s="2" t="s">
        <v>385</v>
      </c>
      <c r="H111" s="2" t="str">
        <f>IFERROR(VLOOKUP(C111,[1]Sheet1!$A:$D,4,0),"")</f>
        <v>https://s129144.cdn.mytvnet.vn/vimages/2a/a6/69/95/5a/a2/2a695-poninfotvhd-channel-unkn.png</v>
      </c>
      <c r="I111" s="2" t="str">
        <f>IFERROR(VLOOKUP(C111,[1]Sheet1!$A:$D,2,0),"")</f>
        <v>ON InfoTV HD</v>
      </c>
      <c r="J111" s="2" t="str">
        <f>IFERROR(VLOOKUP(C111,[1]Sheet1!$A:$D,3,0),"")</f>
        <v>rtp://232.84.3.73:11614</v>
      </c>
      <c r="K111" s="2" t="b">
        <f t="shared" si="3"/>
        <v>1</v>
      </c>
    </row>
    <row r="112" spans="1:11" ht="12.75" x14ac:dyDescent="0.2">
      <c r="A112" s="2">
        <v>111</v>
      </c>
      <c r="B112" s="2" t="s">
        <v>386</v>
      </c>
      <c r="C112" s="2">
        <v>742</v>
      </c>
      <c r="D112" s="2" t="s">
        <v>387</v>
      </c>
      <c r="E112" s="2">
        <v>34</v>
      </c>
      <c r="F112" s="2" t="s">
        <v>388</v>
      </c>
      <c r="G112" s="2" t="s">
        <v>389</v>
      </c>
      <c r="H112" s="2" t="str">
        <f>IFERROR(VLOOKUP(C112,[1]Sheet1!$A:$D,4,0),"")</f>
        <v>https://s129144.cdn.mytvnet.vn/vimages/57/7e/e3/3d/d3/3b/57e3d-ponkidshd-channel-unkn.png</v>
      </c>
      <c r="I112" s="2" t="str">
        <f>IFERROR(VLOOKUP(C112,[1]Sheet1!$A:$D,2,0),"")</f>
        <v>ON Kids (HD)</v>
      </c>
      <c r="J112" s="2" t="str">
        <f>IFERROR(VLOOKUP(C112,[1]Sheet1!$A:$D,3,0),"")</f>
        <v>rtp://232.84.3.41:11806</v>
      </c>
      <c r="K112" s="2" t="b">
        <f t="shared" si="3"/>
        <v>1</v>
      </c>
    </row>
    <row r="113" spans="1:11" ht="12.75" x14ac:dyDescent="0.2">
      <c r="A113" s="2">
        <v>112</v>
      </c>
      <c r="B113" s="2" t="s">
        <v>390</v>
      </c>
      <c r="C113" s="2">
        <v>745</v>
      </c>
      <c r="D113" s="2" t="s">
        <v>391</v>
      </c>
      <c r="E113" s="2">
        <v>35</v>
      </c>
      <c r="F113" s="2" t="s">
        <v>392</v>
      </c>
      <c r="G113" s="2" t="s">
        <v>393</v>
      </c>
      <c r="H113" s="2" t="str">
        <f>IFERROR(VLOOKUP(C113,[1]Sheet1!$A:$D,4,0),"")</f>
        <v>https://s129144.cdn.mytvnet.vn/vimages/63/38/88/8e/e2/23/6388e-ponlifehd-channel-unkn.png</v>
      </c>
      <c r="I113" s="2" t="str">
        <f>IFERROR(VLOOKUP(C113,[1]Sheet1!$A:$D,2,0),"")</f>
        <v>ON Life (HD)</v>
      </c>
      <c r="J113" s="2" t="str">
        <f>IFERROR(VLOOKUP(C113,[1]Sheet1!$A:$D,3,0),"")</f>
        <v>rtp://232.84.3.40:11812</v>
      </c>
      <c r="K113" s="2" t="b">
        <f t="shared" si="3"/>
        <v>1</v>
      </c>
    </row>
    <row r="114" spans="1:11" ht="12.75" x14ac:dyDescent="0.2">
      <c r="A114" s="2">
        <v>113</v>
      </c>
      <c r="B114" s="2" t="s">
        <v>394</v>
      </c>
      <c r="C114" s="2">
        <v>435</v>
      </c>
      <c r="D114" s="2" t="s">
        <v>395</v>
      </c>
      <c r="E114" s="2">
        <v>20</v>
      </c>
      <c r="F114" s="2" t="s">
        <v>396</v>
      </c>
      <c r="G114" s="2" t="s">
        <v>397</v>
      </c>
      <c r="H114" s="2" t="str">
        <f>IFERROR(VLOOKUP(C114,[1]Sheet1!$A:$D,4,0),"")</f>
        <v>https://s129144.cdn.mytvnet.vn/vimages/e5/5e/ed/df/f8/8e/e5edf-ponmovieshd-channel-unkn.png</v>
      </c>
      <c r="I114" s="2" t="str">
        <f>IFERROR(VLOOKUP(C114,[1]Sheet1!$A:$D,2,0),"")</f>
        <v>ON MOVIES (HD)</v>
      </c>
      <c r="J114" s="2" t="str">
        <f>IFERROR(VLOOKUP(C114,[1]Sheet1!$A:$D,3,0),"")</f>
        <v>rtp://232.84.2.190:10924</v>
      </c>
      <c r="K114" s="2" t="b">
        <f t="shared" si="3"/>
        <v>1</v>
      </c>
    </row>
    <row r="115" spans="1:11" ht="12.75" x14ac:dyDescent="0.2">
      <c r="A115" s="2">
        <v>114</v>
      </c>
      <c r="B115" s="2" t="s">
        <v>398</v>
      </c>
      <c r="C115" s="2">
        <v>439</v>
      </c>
      <c r="D115" s="2" t="s">
        <v>399</v>
      </c>
      <c r="E115" s="2">
        <v>28</v>
      </c>
      <c r="F115" s="2" t="s">
        <v>400</v>
      </c>
      <c r="G115" s="2" t="s">
        <v>401</v>
      </c>
      <c r="H115" s="2" t="str">
        <f>IFERROR(VLOOKUP(C115,[1]Sheet1!$A:$D,4,0),"")</f>
        <v>https://s129144.cdn.mytvnet.vn/vimages/2d/df/fc/c3/35/5d/2dfc3-ponmusichd-channel-unkn.png</v>
      </c>
      <c r="I115" s="2" t="str">
        <f>IFERROR(VLOOKUP(C115,[1]Sheet1!$A:$D,2,0),"")</f>
        <v>ON MUSIC HD</v>
      </c>
      <c r="J115" s="2" t="str">
        <f>IFERROR(VLOOKUP(C115,[1]Sheet1!$A:$D,3,0),"")</f>
        <v>rtp://232.84.3.70:11632</v>
      </c>
      <c r="K115" s="2" t="b">
        <f t="shared" si="3"/>
        <v>1</v>
      </c>
    </row>
    <row r="116" spans="1:11" ht="12.75" x14ac:dyDescent="0.2">
      <c r="A116" s="2">
        <v>115</v>
      </c>
      <c r="B116" s="2" t="s">
        <v>402</v>
      </c>
      <c r="C116" s="2">
        <v>27</v>
      </c>
      <c r="D116" s="2" t="s">
        <v>403</v>
      </c>
      <c r="E116" s="2">
        <v>23</v>
      </c>
      <c r="F116" s="2" t="s">
        <v>404</v>
      </c>
      <c r="G116" s="2" t="s">
        <v>405</v>
      </c>
      <c r="H116" s="2" t="str">
        <f>IFERROR(VLOOKUP(C116,[1]Sheet1!$A:$D,4,0),"")</f>
        <v>https://s129144.cdn.mytvnet.vn/vimages/85/52/20/05/5f/fc/85205-pono2tvhd-channel-unkn.png</v>
      </c>
      <c r="I116" s="2" t="str">
        <f>IFERROR(VLOOKUP(C116,[1]Sheet1!$A:$D,2,0),"")</f>
        <v>ON O2TV HD</v>
      </c>
      <c r="J116" s="2" t="str">
        <f>IFERROR(VLOOKUP(C116,[1]Sheet1!$A:$D,3,0),"")</f>
        <v>rtp://232.84.3.74:11608</v>
      </c>
      <c r="K116" s="2" t="b">
        <f t="shared" si="3"/>
        <v>1</v>
      </c>
    </row>
    <row r="117" spans="1:11" ht="12.75" x14ac:dyDescent="0.2">
      <c r="A117" s="2">
        <v>116</v>
      </c>
      <c r="B117" s="2" t="s">
        <v>406</v>
      </c>
      <c r="C117" s="2">
        <v>198</v>
      </c>
      <c r="D117" s="2" t="s">
        <v>407</v>
      </c>
      <c r="E117" s="2">
        <v>18</v>
      </c>
      <c r="F117" s="2" t="s">
        <v>408</v>
      </c>
      <c r="G117" s="2" t="s">
        <v>409</v>
      </c>
      <c r="H117" s="2" t="str">
        <f>IFERROR(VLOOKUP(C117,[1]Sheet1!$A:$D,4,0),"")</f>
        <v>https://s129144.cdn.mytvnet.vn/vimages/3d/d2/24/49/9e/ed/3d249-ponphimvithd-channel-unkn.png</v>
      </c>
      <c r="I117" s="2" t="str">
        <f>IFERROR(VLOOKUP(C117,[1]Sheet1!$A:$D,2,0),"")</f>
        <v>ON Phim Việt HD</v>
      </c>
      <c r="J117" s="2" t="str">
        <f>IFERROR(VLOOKUP(C117,[1]Sheet1!$A:$D,3,0),"")</f>
        <v>rtp://232.84.3.77:11590</v>
      </c>
      <c r="K117" s="2" t="b">
        <f t="shared" si="3"/>
        <v>1</v>
      </c>
    </row>
    <row r="118" spans="1:11" ht="12.75" x14ac:dyDescent="0.2">
      <c r="A118" s="2">
        <v>117</v>
      </c>
      <c r="B118" s="2" t="s">
        <v>410</v>
      </c>
      <c r="C118" s="2">
        <v>200</v>
      </c>
      <c r="D118" s="2" t="s">
        <v>411</v>
      </c>
      <c r="E118" s="2">
        <v>19</v>
      </c>
      <c r="F118" s="2" t="s">
        <v>412</v>
      </c>
      <c r="G118" s="2" t="s">
        <v>413</v>
      </c>
      <c r="H118" s="2" t="str">
        <f>IFERROR(VLOOKUP(C118,[1]Sheet1!$A:$D,4,0),"")</f>
        <v>https://s129144.cdn.mytvnet.vn/vimages/e9/9e/e5/54/40/01/e9e54-ponsportshd-channel-unkn.png</v>
      </c>
      <c r="I118" s="2" t="str">
        <f>IFERROR(VLOOKUP(C118,[1]Sheet1!$A:$D,2,0),"")</f>
        <v>ON Sports (HD)</v>
      </c>
      <c r="J118" s="2" t="str">
        <f>IFERROR(VLOOKUP(C118,[1]Sheet1!$A:$D,3,0),"")</f>
        <v>rtp://232.84.1.207:9216</v>
      </c>
      <c r="K118" s="2" t="b">
        <f t="shared" si="3"/>
        <v>1</v>
      </c>
    </row>
    <row r="119" spans="1:11" ht="12.75" x14ac:dyDescent="0.2">
      <c r="A119" s="2">
        <v>118</v>
      </c>
      <c r="B119" s="2" t="s">
        <v>414</v>
      </c>
      <c r="C119" s="2">
        <v>441</v>
      </c>
      <c r="D119" s="2" t="s">
        <v>415</v>
      </c>
      <c r="E119" s="2">
        <v>31</v>
      </c>
      <c r="F119" s="2" t="s">
        <v>416</v>
      </c>
      <c r="G119" s="2" t="s">
        <v>415</v>
      </c>
      <c r="H119" s="2" t="str">
        <f>IFERROR(VLOOKUP(C119,[1]Sheet1!$A:$D,4,0),"")</f>
        <v>https://s129144.cdn.mytvnet.vn/vimages/6b/b3/32/2f/f7/72/6b32f-ponsportsnews-channel-unkn.png</v>
      </c>
      <c r="I119" s="2" t="str">
        <f>IFERROR(VLOOKUP(C119,[1]Sheet1!$A:$D,2,0),"")</f>
        <v>ON Sports News</v>
      </c>
      <c r="J119" s="2" t="str">
        <f>IFERROR(VLOOKUP(C119,[1]Sheet1!$A:$D,3,0),"")</f>
        <v>rtp://232.84.2.193:10942</v>
      </c>
      <c r="K119" s="2" t="b">
        <f t="shared" si="3"/>
        <v>1</v>
      </c>
    </row>
    <row r="120" spans="1:11" ht="12.75" x14ac:dyDescent="0.2">
      <c r="A120" s="2">
        <v>119</v>
      </c>
      <c r="B120" s="2" t="s">
        <v>417</v>
      </c>
      <c r="C120" s="2">
        <v>203</v>
      </c>
      <c r="D120" s="2" t="s">
        <v>418</v>
      </c>
      <c r="E120" s="2">
        <v>22</v>
      </c>
      <c r="F120" s="2" t="s">
        <v>419</v>
      </c>
      <c r="G120" s="2" t="s">
        <v>420</v>
      </c>
      <c r="H120" s="2" t="str">
        <f>IFERROR(VLOOKUP(C120,[1]Sheet1!$A:$D,4,0),"")</f>
        <v>https://s129144.cdn.mytvnet.vn/vimages/f6/68/85/5b/b0/02/f685b-ponsportshd-channel-unkn.png</v>
      </c>
      <c r="I120" s="2" t="str">
        <f>IFERROR(VLOOKUP(C120,[1]Sheet1!$A:$D,2,0),"")</f>
        <v>On Sports+ HD</v>
      </c>
      <c r="J120" s="2" t="str">
        <f>IFERROR(VLOOKUP(C120,[1]Sheet1!$A:$D,3,0),"")</f>
        <v>rtp://232.84.3.75:11602</v>
      </c>
      <c r="K120" s="2" t="b">
        <f t="shared" si="3"/>
        <v>1</v>
      </c>
    </row>
    <row r="121" spans="1:11" ht="12.75" x14ac:dyDescent="0.2">
      <c r="A121" s="2">
        <v>120</v>
      </c>
      <c r="B121" s="2" t="s">
        <v>421</v>
      </c>
      <c r="C121" s="2">
        <v>206</v>
      </c>
      <c r="D121" s="2" t="s">
        <v>422</v>
      </c>
      <c r="E121" s="2">
        <v>27</v>
      </c>
      <c r="F121" s="2" t="s">
        <v>423</v>
      </c>
      <c r="G121" s="2" t="s">
        <v>424</v>
      </c>
      <c r="H121" s="2" t="str">
        <f>IFERROR(VLOOKUP(C121,[1]Sheet1!$A:$D,4,0),"")</f>
        <v>https://s129144.cdn.mytvnet.vn/vimages/6d/df/f4/4e/ee/e9/6df4e-ponstyletvhd-channel-unkn.png</v>
      </c>
      <c r="I121" s="2" t="str">
        <f>IFERROR(VLOOKUP(C121,[1]Sheet1!$A:$D,2,0),"")</f>
        <v>ON Style TV HD</v>
      </c>
      <c r="J121" s="2" t="str">
        <f>IFERROR(VLOOKUP(C121,[1]Sheet1!$A:$D,3,0),"")</f>
        <v>rtp://232.84.3.71:11626</v>
      </c>
      <c r="K121" s="2" t="b">
        <f t="shared" si="3"/>
        <v>1</v>
      </c>
    </row>
    <row r="122" spans="1:11" ht="12.75" x14ac:dyDescent="0.2">
      <c r="A122" s="2">
        <v>121</v>
      </c>
      <c r="B122" s="2" t="s">
        <v>425</v>
      </c>
      <c r="C122" s="2">
        <v>209</v>
      </c>
      <c r="D122" s="2" t="s">
        <v>426</v>
      </c>
      <c r="E122" s="2">
        <v>30</v>
      </c>
      <c r="F122" s="2" t="s">
        <v>427</v>
      </c>
      <c r="G122" s="2" t="s">
        <v>428</v>
      </c>
      <c r="H122" s="2" t="str">
        <f>IFERROR(VLOOKUP(C122,[1]Sheet1!$A:$D,4,0),"")</f>
        <v>https://s129144.cdn.mytvnet.vn/vimages/05/5e/eb/b9/95/55/05eb9-pontrendinghd-channel-unkn.png</v>
      </c>
      <c r="I122" s="2" t="str">
        <f>IFERROR(VLOOKUP(C122,[1]Sheet1!$A:$D,2,0),"")</f>
        <v>ON Trending HD</v>
      </c>
      <c r="J122" s="2" t="str">
        <f>IFERROR(VLOOKUP(C122,[1]Sheet1!$A:$D,3,0),"")</f>
        <v>rtp://232.84.3.69:11638</v>
      </c>
      <c r="K122" s="2" t="b">
        <f t="shared" si="3"/>
        <v>1</v>
      </c>
    </row>
    <row r="123" spans="1:11" ht="12.75" x14ac:dyDescent="0.2">
      <c r="A123" s="2">
        <v>122</v>
      </c>
      <c r="B123" s="2" t="s">
        <v>429</v>
      </c>
      <c r="C123" s="2">
        <v>241</v>
      </c>
      <c r="D123" s="2" t="s">
        <v>430</v>
      </c>
      <c r="E123" s="2">
        <v>33</v>
      </c>
      <c r="F123" s="2" t="s">
        <v>431</v>
      </c>
      <c r="G123" s="2" t="s">
        <v>432</v>
      </c>
      <c r="H123" s="2" t="str">
        <f>IFERROR(VLOOKUP(C123,[1]Sheet1!$A:$D,4,0),"")</f>
        <v>https://s129144.cdn.mytvnet.vn/vimages/27/7a/a7/71/1f/f0/27a71-ponvfamilyhd-channel-unkn.png</v>
      </c>
      <c r="I123" s="2" t="str">
        <f>IFERROR(VLOOKUP(C123,[1]Sheet1!$A:$D,2,0),"")</f>
        <v>ON Vfamily HD</v>
      </c>
      <c r="J123" s="2" t="str">
        <f>IFERROR(VLOOKUP(C123,[1]Sheet1!$A:$D,3,0),"")</f>
        <v>rtp://232.84.3.68:11644</v>
      </c>
      <c r="K123" s="2" t="b">
        <f t="shared" si="3"/>
        <v>1</v>
      </c>
    </row>
    <row r="124" spans="1:11" ht="12.75" x14ac:dyDescent="0.2">
      <c r="A124" s="2">
        <v>123</v>
      </c>
      <c r="B124" s="2" t="s">
        <v>433</v>
      </c>
      <c r="C124" s="2">
        <v>201</v>
      </c>
      <c r="D124" s="2" t="s">
        <v>434</v>
      </c>
      <c r="E124" s="2">
        <v>32</v>
      </c>
      <c r="F124" s="2" t="s">
        <v>435</v>
      </c>
      <c r="G124" s="2" t="s">
        <v>436</v>
      </c>
      <c r="H124" s="2" t="str">
        <f>IFERROR(VLOOKUP(C124,[1]Sheet1!$A:$D,4,0),"")</f>
        <v>https://s129144.cdn.mytvnet.vn/vimages/00/09/98/87/7c/c3/00987-ponviedramas-channel-unkn.png</v>
      </c>
      <c r="I124" s="2" t="str">
        <f>IFERROR(VLOOKUP(C124,[1]Sheet1!$A:$D,2,0),"")</f>
        <v>ON Vie Dramas</v>
      </c>
      <c r="J124" s="2" t="str">
        <f>IFERROR(VLOOKUP(C124,[1]Sheet1!$A:$D,3,0),"")</f>
        <v>rtp://232.84.3.218:11230</v>
      </c>
      <c r="K124" s="2" t="b">
        <f t="shared" si="3"/>
        <v>1</v>
      </c>
    </row>
    <row r="125" spans="1:11" ht="12.75" x14ac:dyDescent="0.2">
      <c r="A125" s="2">
        <v>124</v>
      </c>
      <c r="B125" s="2" t="s">
        <v>437</v>
      </c>
      <c r="C125" s="2">
        <v>197</v>
      </c>
      <c r="D125" s="2" t="s">
        <v>438</v>
      </c>
      <c r="E125" s="2">
        <v>17</v>
      </c>
      <c r="F125" s="2" t="s">
        <v>439</v>
      </c>
      <c r="G125" s="2" t="s">
        <v>440</v>
      </c>
      <c r="H125" s="2" t="str">
        <f>IFERROR(VLOOKUP(C125,[1]Sheet1!$A:$D,4,0),"")</f>
        <v>https://s129144.cdn.mytvnet.vn/vimages/0c/c1/12/24/4c/cd/0c124-ponviegiitr-channel-unkn.png</v>
      </c>
      <c r="I125" s="2" t="str">
        <f>IFERROR(VLOOKUP(C125,[1]Sheet1!$A:$D,2,0),"")</f>
        <v>ON Vie Giải trí</v>
      </c>
      <c r="J125" s="2" t="str">
        <f>IFERROR(VLOOKUP(C125,[1]Sheet1!$A:$D,3,0),"")</f>
        <v>rtp://232.84.3.78:11584</v>
      </c>
      <c r="K125" s="2" t="b">
        <f t="shared" si="3"/>
        <v>1</v>
      </c>
    </row>
    <row r="126" spans="1:11" ht="12.75" x14ac:dyDescent="0.2">
      <c r="A126" s="2">
        <v>125</v>
      </c>
      <c r="B126" s="2" t="s">
        <v>441</v>
      </c>
      <c r="C126" s="2">
        <v>191</v>
      </c>
      <c r="D126" s="2" t="s">
        <v>442</v>
      </c>
      <c r="E126" s="2">
        <v>94</v>
      </c>
      <c r="F126" s="2" t="s">
        <v>443</v>
      </c>
      <c r="G126" s="2" t="s">
        <v>444</v>
      </c>
      <c r="H126" s="2" t="str">
        <f>IFERROR(VLOOKUP(C126,[1]Sheet1!$A:$D,4,0),"")</f>
        <v>https://s129144.cdn.mytvnet.vn/vimages/58/84/45/5f/f8/8c/5845f-poutdoorhd-channel-unkn.png</v>
      </c>
      <c r="I126" s="2" t="str">
        <f>IFERROR(VLOOKUP(C126,[1]Sheet1!$A:$D,2,0),"")</f>
        <v>Outdoor HD</v>
      </c>
      <c r="J126" s="2" t="str">
        <f>IFERROR(VLOOKUP(C126,[1]Sheet1!$A:$D,3,0),"")</f>
        <v>rtp://232.84.1.107:10218</v>
      </c>
      <c r="K126" s="2" t="b">
        <f t="shared" si="3"/>
        <v>1</v>
      </c>
    </row>
    <row r="127" spans="1:11" ht="12.75" x14ac:dyDescent="0.2">
      <c r="A127" s="2">
        <v>126</v>
      </c>
      <c r="B127" s="2" t="s">
        <v>445</v>
      </c>
      <c r="C127" s="2">
        <v>410</v>
      </c>
      <c r="D127" s="2" t="s">
        <v>446</v>
      </c>
      <c r="E127" s="2">
        <v>176</v>
      </c>
      <c r="F127" s="2" t="s">
        <v>447</v>
      </c>
      <c r="G127" s="2" t="s">
        <v>448</v>
      </c>
      <c r="H127" s="2" t="str">
        <f>IFERROR(VLOOKUP(C127,[1]Sheet1!$A:$D,4,0),"")</f>
        <v>https://s129144.cdn.mytvnet.vn/vimages/3d/d4/46/6a/a3/32/3d46a-pphthtvhd-channel-unkn.png</v>
      </c>
      <c r="I127" s="2" t="str">
        <f>IFERROR(VLOOKUP(C127,[1]Sheet1!$A:$D,2,0),"")</f>
        <v>Phú Thọ TV (HD)</v>
      </c>
      <c r="J127" s="2" t="str">
        <f>IFERROR(VLOOKUP(C127,[1]Sheet1!$A:$D,3,0),"")</f>
        <v>rtp://232.84.3.148:10792</v>
      </c>
      <c r="K127" s="2" t="b">
        <f t="shared" si="3"/>
        <v>1</v>
      </c>
    </row>
    <row r="128" spans="1:11" ht="12.75" x14ac:dyDescent="0.2">
      <c r="A128" s="2">
        <v>127</v>
      </c>
      <c r="B128" s="2" t="s">
        <v>449</v>
      </c>
      <c r="C128" s="2">
        <v>245</v>
      </c>
      <c r="D128" s="2" t="s">
        <v>450</v>
      </c>
      <c r="E128" s="2">
        <v>910</v>
      </c>
      <c r="F128" s="2" t="s">
        <v>451</v>
      </c>
      <c r="G128" s="2" t="s">
        <v>452</v>
      </c>
      <c r="H128" s="2" t="str">
        <f>IFERROR(VLOOKUP(C128,[1]Sheet1!$A:$D,4,0),"")</f>
        <v>https://s129144.cdn.mytvnet.vn/vimages/a7/7b/be/e7/78/8d/a7be7-pphuyentv-channel-unkn.png</v>
      </c>
      <c r="I128" s="2" t="str">
        <f>IFERROR(VLOOKUP(C128,[1]Sheet1!$A:$D,2,0),"")</f>
        <v>PhuYenTV</v>
      </c>
      <c r="J128" s="2" t="str">
        <f>IFERROR(VLOOKUP(C128,[1]Sheet1!$A:$D,3,0),"")</f>
        <v>rtp://232.84.3.108:10362</v>
      </c>
      <c r="K128" s="2" t="b">
        <f t="shared" si="3"/>
        <v>1</v>
      </c>
    </row>
    <row r="129" spans="1:11" ht="12.75" x14ac:dyDescent="0.2">
      <c r="A129" s="2">
        <v>128</v>
      </c>
      <c r="B129" s="2" t="s">
        <v>453</v>
      </c>
      <c r="C129" s="2">
        <v>227</v>
      </c>
      <c r="D129" s="2" t="s">
        <v>454</v>
      </c>
      <c r="E129" s="2">
        <v>37</v>
      </c>
      <c r="F129" s="2" t="s">
        <v>455</v>
      </c>
      <c r="G129" s="2" t="s">
        <v>456</v>
      </c>
      <c r="H129" s="2" t="str">
        <f>IFERROR(VLOOKUP(C129,[1]Sheet1!$A:$D,4,0),"")</f>
        <v>https://s129144.cdn.mytvnet.vn/vimages/ef/f6/64/46/6b/be/ef646-pqpvnhd-channel-unkn.png</v>
      </c>
      <c r="I129" s="2" t="str">
        <f>IFERROR(VLOOKUP(C129,[1]Sheet1!$A:$D,2,0),"")</f>
        <v>QPVN (HD)</v>
      </c>
      <c r="J129" s="2" t="str">
        <f>IFERROR(VLOOKUP(C129,[1]Sheet1!$A:$D,3,0),"")</f>
        <v>rtp://232.84.3.127:10816</v>
      </c>
      <c r="K129" s="2" t="b">
        <f t="shared" si="3"/>
        <v>1</v>
      </c>
    </row>
    <row r="130" spans="1:11" ht="12.75" x14ac:dyDescent="0.2">
      <c r="A130" s="2">
        <v>129</v>
      </c>
      <c r="B130" s="2" t="s">
        <v>457</v>
      </c>
      <c r="C130" s="2">
        <v>120</v>
      </c>
      <c r="D130" s="2" t="s">
        <v>458</v>
      </c>
      <c r="E130" s="2">
        <v>177</v>
      </c>
      <c r="F130" s="2" t="s">
        <v>459</v>
      </c>
      <c r="G130" s="2" t="s">
        <v>458</v>
      </c>
      <c r="H130" s="2" t="str">
        <f>IFERROR(VLOOKUP(C130,[1]Sheet1!$A:$D,4,0),"")</f>
        <v>https://s129144.cdn.mytvnet.vn/vimages/7f/fc/cd/d0/05/5b/7fcd0-pqungbnh-channel-unkn.png</v>
      </c>
      <c r="I130" s="2" t="str">
        <f>IFERROR(VLOOKUP(C130,[1]Sheet1!$A:$D,2,0),"")</f>
        <v>Quảng Bình</v>
      </c>
      <c r="J130" s="2" t="str">
        <f>IFERROR(VLOOKUP(C130,[1]Sheet1!$A:$D,3,0),"")</f>
        <v>rtp://232.84.2.98:9042</v>
      </c>
      <c r="K130" s="2" t="b">
        <f t="shared" ref="K130:K161" si="4">D130=I130</f>
        <v>1</v>
      </c>
    </row>
    <row r="131" spans="1:11" ht="12.75" x14ac:dyDescent="0.2">
      <c r="A131" s="2">
        <v>130</v>
      </c>
      <c r="B131" s="2" t="s">
        <v>460</v>
      </c>
      <c r="C131" s="2">
        <v>179</v>
      </c>
      <c r="D131" s="2" t="s">
        <v>461</v>
      </c>
      <c r="E131" s="2">
        <v>178</v>
      </c>
      <c r="F131" s="2" t="s">
        <v>462</v>
      </c>
      <c r="G131" s="2" t="s">
        <v>461</v>
      </c>
      <c r="H131" s="2" t="str">
        <f>IFERROR(VLOOKUP(C131,[1]Sheet1!$A:$D,4,0),"")</f>
        <v>https://s129144.cdn.mytvnet.vn/vimages/a7/72/2b/bf/f2/2e/a72bf-pqungnam-channel-unkn.png</v>
      </c>
      <c r="I131" s="2" t="str">
        <f>IFERROR(VLOOKUP(C131,[1]Sheet1!$A:$D,2,0),"")</f>
        <v>Quảng Nam</v>
      </c>
      <c r="J131" s="2" t="str">
        <f>IFERROR(VLOOKUP(C131,[1]Sheet1!$A:$D,3,0),"")</f>
        <v>rtp://232.84.2.81:9048</v>
      </c>
      <c r="K131" s="2" t="b">
        <f t="shared" si="4"/>
        <v>1</v>
      </c>
    </row>
    <row r="132" spans="1:11" ht="12.75" x14ac:dyDescent="0.2">
      <c r="A132" s="2">
        <v>131</v>
      </c>
      <c r="B132" s="2" t="s">
        <v>463</v>
      </c>
      <c r="C132" s="2">
        <v>409</v>
      </c>
      <c r="D132" s="2" t="s">
        <v>464</v>
      </c>
      <c r="E132" s="2">
        <v>179</v>
      </c>
      <c r="F132" s="2" t="s">
        <v>465</v>
      </c>
      <c r="G132" s="2" t="s">
        <v>464</v>
      </c>
      <c r="H132" s="2" t="str">
        <f>IFERROR(VLOOKUP(C132,[1]Sheet1!$A:$D,4,0),"")</f>
        <v>https://s129144.cdn.mytvnet.vn/vimages/9b/bf/fe/e2/23/3e/9bfe2-pqungngihd-channel-unkn.png</v>
      </c>
      <c r="I132" s="2" t="str">
        <f>IFERROR(VLOOKUP(C132,[1]Sheet1!$A:$D,2,0),"")</f>
        <v>Quảng Ngãi (HD)</v>
      </c>
      <c r="J132" s="2" t="str">
        <f>IFERROR(VLOOKUP(C132,[1]Sheet1!$A:$D,3,0),"")</f>
        <v>rtp://232.84.3.126:10798</v>
      </c>
      <c r="K132" s="2" t="b">
        <f t="shared" si="4"/>
        <v>1</v>
      </c>
    </row>
    <row r="133" spans="1:11" ht="12.75" x14ac:dyDescent="0.2">
      <c r="A133" s="2">
        <v>132</v>
      </c>
      <c r="B133" s="2" t="s">
        <v>466</v>
      </c>
      <c r="C133" s="2">
        <v>455</v>
      </c>
      <c r="D133" s="2" t="s">
        <v>467</v>
      </c>
      <c r="E133" s="2">
        <v>180</v>
      </c>
      <c r="F133" s="2" t="s">
        <v>468</v>
      </c>
      <c r="G133" s="2" t="s">
        <v>469</v>
      </c>
      <c r="H133" s="2" t="str">
        <f>IFERROR(VLOOKUP(C133,[1]Sheet1!$A:$D,4,0),"")</f>
        <v>https://s129144.cdn.mytvnet.vn/vimages/b5/51/11/10/0d/d1/b5110-pqungninh1qtv1hd-channel-unkn.png</v>
      </c>
      <c r="I133" s="2" t="str">
        <f>IFERROR(VLOOKUP(C133,[1]Sheet1!$A:$D,2,0),"")</f>
        <v>Quảng Ninh1 (QTV1) HD</v>
      </c>
      <c r="J133" s="2" t="str">
        <f>IFERROR(VLOOKUP(C133,[1]Sheet1!$A:$D,3,0),"")</f>
        <v>rtp://232.84.1.248:10978</v>
      </c>
      <c r="K133" s="2" t="b">
        <f t="shared" si="4"/>
        <v>1</v>
      </c>
    </row>
    <row r="134" spans="1:11" ht="12.75" x14ac:dyDescent="0.2">
      <c r="A134" s="2">
        <v>133</v>
      </c>
      <c r="B134" s="2" t="s">
        <v>470</v>
      </c>
      <c r="C134" s="2">
        <v>457</v>
      </c>
      <c r="D134" s="2" t="s">
        <v>471</v>
      </c>
      <c r="E134" s="2">
        <v>181</v>
      </c>
      <c r="F134" s="2" t="s">
        <v>472</v>
      </c>
      <c r="G134" s="2" t="s">
        <v>473</v>
      </c>
      <c r="H134" s="2" t="str">
        <f>IFERROR(VLOOKUP(C134,[1]Sheet1!$A:$D,4,0),"")</f>
        <v>https://s129144.cdn.mytvnet.vn/vimages/c5/56/63/32/2a/a0/c5632-pqungninh3qtv3hd-channel-unkn.png</v>
      </c>
      <c r="I134" s="2" t="str">
        <f>IFERROR(VLOOKUP(C134,[1]Sheet1!$A:$D,2,0),"")</f>
        <v>Quảng Ninh3 (QTV3) HD</v>
      </c>
      <c r="J134" s="2" t="str">
        <f>IFERROR(VLOOKUP(C134,[1]Sheet1!$A:$D,3,0),"")</f>
        <v>rtp://232.84.1.249:10984</v>
      </c>
      <c r="K134" s="2" t="b">
        <f t="shared" si="4"/>
        <v>1</v>
      </c>
    </row>
    <row r="135" spans="1:11" ht="12.75" x14ac:dyDescent="0.2">
      <c r="A135" s="2">
        <v>134</v>
      </c>
      <c r="B135" s="2" t="s">
        <v>474</v>
      </c>
      <c r="C135" s="2">
        <v>121</v>
      </c>
      <c r="D135" s="2" t="s">
        <v>475</v>
      </c>
      <c r="E135" s="2">
        <v>182</v>
      </c>
      <c r="F135" s="2" t="s">
        <v>476</v>
      </c>
      <c r="G135" s="2" t="s">
        <v>477</v>
      </c>
      <c r="H135" s="2" t="str">
        <f>IFERROR(VLOOKUP(C135,[1]Sheet1!$A:$D,4,0),"")</f>
        <v>https://s129144.cdn.mytvnet.vn/vimages/1d/d1/11/12/20/0b/1d112-pqungtrhd-channel-unkn.png</v>
      </c>
      <c r="I135" s="2" t="str">
        <f>IFERROR(VLOOKUP(C135,[1]Sheet1!$A:$D,2,0),"")</f>
        <v>Quảng Trị HD</v>
      </c>
      <c r="J135" s="2" t="str">
        <f>IFERROR(VLOOKUP(C135,[1]Sheet1!$A:$D,3,0),"")</f>
        <v>rtp://232.84.3.46:11776</v>
      </c>
      <c r="K135" s="2" t="b">
        <f t="shared" si="4"/>
        <v>1</v>
      </c>
    </row>
    <row r="136" spans="1:11" ht="12.75" x14ac:dyDescent="0.2">
      <c r="A136" s="2">
        <v>135</v>
      </c>
      <c r="B136" s="2" t="s">
        <v>478</v>
      </c>
      <c r="C136" s="2">
        <v>766</v>
      </c>
      <c r="D136" s="2" t="s">
        <v>479</v>
      </c>
      <c r="E136" s="2">
        <v>74</v>
      </c>
      <c r="F136" s="2" t="s">
        <v>480</v>
      </c>
      <c r="G136" s="2" t="s">
        <v>481</v>
      </c>
      <c r="H136" s="2" t="str">
        <f>IFERROR(VLOOKUP(C136,[1]Sheet1!$A:$D,4,0),"")</f>
        <v>https://s129144.cdn.mytvnet.vn/vimages/09/91/13/30/0b/b8/09130-psctvphimtnghp-channel-unkn.png</v>
      </c>
      <c r="I136" s="2" t="str">
        <f>IFERROR(VLOOKUP(C136,[1]Sheet1!$A:$D,2,0),"")</f>
        <v>SCTV - Phim Tổng hợp</v>
      </c>
      <c r="J136" s="2" t="str">
        <f>IFERROR(VLOOKUP(C136,[1]Sheet1!$A:$D,3,0),"")</f>
        <v>rtp://232.84.3.14:11968</v>
      </c>
      <c r="K136" s="2" t="b">
        <f t="shared" si="4"/>
        <v>1</v>
      </c>
    </row>
    <row r="137" spans="1:11" ht="12.75" x14ac:dyDescent="0.2">
      <c r="A137" s="2">
        <v>136</v>
      </c>
      <c r="B137" s="2" t="s">
        <v>482</v>
      </c>
      <c r="C137" s="2">
        <v>829</v>
      </c>
      <c r="D137" s="2" t="s">
        <v>483</v>
      </c>
      <c r="E137" s="2">
        <v>73</v>
      </c>
      <c r="F137" s="2" t="s">
        <v>484</v>
      </c>
      <c r="G137" s="2" t="s">
        <v>485</v>
      </c>
      <c r="H137" s="2" t="str">
        <f>IFERROR(VLOOKUP(C137,[1]Sheet1!$A:$D,4,0),"")</f>
        <v>https://s129144.cdn.mytvnet.vn/vimages/ee/eb/bb/bb/bf/f5/eebbb-psctv22ssportt1-channel-unkn.png</v>
      </c>
      <c r="I137" s="2" t="str">
        <f>IFERROR(VLOOKUP(C137,[1]Sheet1!$A:$D,2,0),"")</f>
        <v>SCTV 22 - SSportT1</v>
      </c>
      <c r="J137" s="2" t="str">
        <f>IFERROR(VLOOKUP(C137,[1]Sheet1!$A:$D,3,0),"")</f>
        <v>rtp://232.84.3.15:11962</v>
      </c>
      <c r="K137" s="2" t="b">
        <f t="shared" si="4"/>
        <v>1</v>
      </c>
    </row>
    <row r="138" spans="1:11" ht="12.75" x14ac:dyDescent="0.2">
      <c r="A138" s="2">
        <v>137</v>
      </c>
      <c r="B138" s="2" t="s">
        <v>486</v>
      </c>
      <c r="C138" s="2">
        <v>769</v>
      </c>
      <c r="D138" s="2" t="s">
        <v>487</v>
      </c>
      <c r="E138" s="2">
        <v>54</v>
      </c>
      <c r="F138" s="2" t="s">
        <v>488</v>
      </c>
      <c r="G138" s="2" t="s">
        <v>489</v>
      </c>
      <c r="H138" s="2" t="str">
        <f>IFERROR(VLOOKUP(C138,[1]Sheet1!$A:$D,4,0),"")</f>
        <v>https://s129144.cdn.mytvnet.vn/vimages/52/20/05/5a/aa/ad/5205a-psctv1knhhi-channel-unkn.png</v>
      </c>
      <c r="I138" s="2" t="str">
        <f>IFERROR(VLOOKUP(C138,[1]Sheet1!$A:$D,2,0),"")</f>
        <v>SCTV1</v>
      </c>
      <c r="J138" s="2" t="str">
        <f>IFERROR(VLOOKUP(C138,[1]Sheet1!$A:$D,3,0),"")</f>
        <v>rtp://232.84.3.34:11848</v>
      </c>
      <c r="K138" s="2" t="b">
        <f t="shared" si="4"/>
        <v>1</v>
      </c>
    </row>
    <row r="139" spans="1:11" ht="12.75" x14ac:dyDescent="0.2">
      <c r="A139" s="2">
        <v>138</v>
      </c>
      <c r="B139" s="2" t="s">
        <v>490</v>
      </c>
      <c r="C139" s="2">
        <v>793</v>
      </c>
      <c r="D139" s="2" t="s">
        <v>491</v>
      </c>
      <c r="E139" s="2">
        <v>62</v>
      </c>
      <c r="F139" s="2" t="s">
        <v>492</v>
      </c>
      <c r="G139" s="2" t="s">
        <v>493</v>
      </c>
      <c r="H139" s="2" t="str">
        <f>IFERROR(VLOOKUP(C139,[1]Sheet1!$A:$D,4,0),"")</f>
        <v>https://s129144.cdn.mytvnet.vn/vimages/34/4e/ec/c9/9f/f2/34ec9-psctv11tvstar-channel-unkn.png</v>
      </c>
      <c r="I139" s="2" t="str">
        <f>IFERROR(VLOOKUP(C139,[1]Sheet1!$A:$D,2,0),"")</f>
        <v>SCTV11</v>
      </c>
      <c r="J139" s="2" t="str">
        <f>IFERROR(VLOOKUP(C139,[1]Sheet1!$A:$D,3,0),"")</f>
        <v>rtp://232.84.3.26:11896</v>
      </c>
      <c r="K139" s="2" t="b">
        <f t="shared" si="4"/>
        <v>1</v>
      </c>
    </row>
    <row r="140" spans="1:11" ht="12.75" x14ac:dyDescent="0.2">
      <c r="A140" s="2">
        <v>139</v>
      </c>
      <c r="B140" s="2" t="s">
        <v>494</v>
      </c>
      <c r="C140" s="2">
        <v>796</v>
      </c>
      <c r="D140" s="2" t="s">
        <v>495</v>
      </c>
      <c r="E140" s="2">
        <v>63</v>
      </c>
      <c r="F140" s="2" t="s">
        <v>496</v>
      </c>
      <c r="G140" s="2" t="s">
        <v>497</v>
      </c>
      <c r="H140" s="2" t="str">
        <f>IFERROR(VLOOKUP(C140,[1]Sheet1!$A:$D,4,0),"")</f>
        <v>https://s129144.cdn.mytvnet.vn/vimages/93/38/8d/da/a2/2c/938da-psctv12dulch-channel-unkn.png</v>
      </c>
      <c r="I140" s="2" t="str">
        <f>IFERROR(VLOOKUP(C140,[1]Sheet1!$A:$D,2,0),"")</f>
        <v>SCTV12</v>
      </c>
      <c r="J140" s="2" t="str">
        <f>IFERROR(VLOOKUP(C140,[1]Sheet1!$A:$D,3,0),"")</f>
        <v>rtp://232.84.3.25:11902</v>
      </c>
      <c r="K140" s="2" t="b">
        <f t="shared" si="4"/>
        <v>1</v>
      </c>
    </row>
    <row r="141" spans="1:11" ht="12.75" x14ac:dyDescent="0.2">
      <c r="A141" s="2">
        <v>140</v>
      </c>
      <c r="B141" s="2" t="s">
        <v>498</v>
      </c>
      <c r="C141" s="2">
        <v>799</v>
      </c>
      <c r="D141" s="2" t="s">
        <v>499</v>
      </c>
      <c r="E141" s="2">
        <v>64</v>
      </c>
      <c r="F141" s="2" t="s">
        <v>500</v>
      </c>
      <c r="G141" s="2" t="s">
        <v>501</v>
      </c>
      <c r="H141" s="2" t="str">
        <f>IFERROR(VLOOKUP(C141,[1]Sheet1!$A:$D,4,0),"")</f>
        <v>https://s129144.cdn.mytvnet.vn/vimages/e3/32/20/0b/bc/c3/e320b-psctv13ladytv-channel-unkn.png</v>
      </c>
      <c r="I141" s="2" t="str">
        <f>IFERROR(VLOOKUP(C141,[1]Sheet1!$A:$D,2,0),"")</f>
        <v>SCTV13</v>
      </c>
      <c r="J141" s="2" t="str">
        <f>IFERROR(VLOOKUP(C141,[1]Sheet1!$A:$D,3,0),"")</f>
        <v>rtp://232.84.3.24:11908</v>
      </c>
      <c r="K141" s="2" t="b">
        <f t="shared" si="4"/>
        <v>1</v>
      </c>
    </row>
    <row r="142" spans="1:11" ht="12.75" x14ac:dyDescent="0.2">
      <c r="A142" s="2">
        <v>141</v>
      </c>
      <c r="B142" s="2" t="s">
        <v>502</v>
      </c>
      <c r="C142" s="2">
        <v>802</v>
      </c>
      <c r="D142" s="2" t="s">
        <v>503</v>
      </c>
      <c r="E142" s="2">
        <v>65</v>
      </c>
      <c r="F142" s="2" t="s">
        <v>504</v>
      </c>
      <c r="G142" s="2" t="s">
        <v>505</v>
      </c>
      <c r="H142" s="2" t="str">
        <f>IFERROR(VLOOKUP(C142,[1]Sheet1!$A:$D,4,0),"")</f>
        <v/>
      </c>
      <c r="I142" s="2" t="str">
        <f>IFERROR(VLOOKUP(C142,[1]Sheet1!$A:$D,2,0),"")</f>
        <v/>
      </c>
      <c r="J142" s="2" t="str">
        <f>IFERROR(VLOOKUP(C142,[1]Sheet1!$A:$D,3,0),"")</f>
        <v/>
      </c>
      <c r="K142" s="2" t="b">
        <f t="shared" si="4"/>
        <v>0</v>
      </c>
    </row>
    <row r="143" spans="1:11" ht="12.75" x14ac:dyDescent="0.2">
      <c r="A143" s="2">
        <v>142</v>
      </c>
      <c r="B143" s="2" t="s">
        <v>506</v>
      </c>
      <c r="C143" s="2">
        <v>823</v>
      </c>
      <c r="D143" s="2" t="s">
        <v>507</v>
      </c>
      <c r="E143" s="2">
        <v>66</v>
      </c>
      <c r="F143" s="2" t="s">
        <v>508</v>
      </c>
      <c r="G143" s="2" t="s">
        <v>509</v>
      </c>
      <c r="H143" s="2" t="str">
        <f>IFERROR(VLOOKUP(C143,[1]Sheet1!$A:$D,4,0),"")</f>
        <v>https://s129144.cdn.mytvnet.vn/vimages/c5/52/26/64/4d/d2/c5264-psctv15ssportt2-channel-unkn.png</v>
      </c>
      <c r="I143" s="2" t="str">
        <f>IFERROR(VLOOKUP(C143,[1]Sheet1!$A:$D,2,0),"")</f>
        <v>SCTV15 - SSportT2</v>
      </c>
      <c r="J143" s="2" t="str">
        <f>IFERROR(VLOOKUP(C143,[1]Sheet1!$A:$D,3,0),"")</f>
        <v>rtp://232.84.3.22:11920</v>
      </c>
      <c r="K143" s="2" t="b">
        <f t="shared" si="4"/>
        <v>1</v>
      </c>
    </row>
    <row r="144" spans="1:11" ht="12.75" x14ac:dyDescent="0.2">
      <c r="A144" s="2">
        <v>143</v>
      </c>
      <c r="B144" s="2" t="s">
        <v>510</v>
      </c>
      <c r="C144" s="2">
        <v>805</v>
      </c>
      <c r="D144" s="2" t="s">
        <v>511</v>
      </c>
      <c r="E144" s="2">
        <v>67</v>
      </c>
      <c r="F144" s="2" t="s">
        <v>512</v>
      </c>
      <c r="G144" s="2" t="s">
        <v>513</v>
      </c>
      <c r="H144" s="2" t="str">
        <f>IFERROR(VLOOKUP(C144,[1]Sheet1!$A:$D,4,0),"")</f>
        <v/>
      </c>
      <c r="I144" s="2" t="str">
        <f>IFERROR(VLOOKUP(C144,[1]Sheet1!$A:$D,2,0),"")</f>
        <v/>
      </c>
      <c r="J144" s="2" t="str">
        <f>IFERROR(VLOOKUP(C144,[1]Sheet1!$A:$D,3,0),"")</f>
        <v/>
      </c>
      <c r="K144" s="2" t="b">
        <f t="shared" si="4"/>
        <v>0</v>
      </c>
    </row>
    <row r="145" spans="1:11" ht="12.75" x14ac:dyDescent="0.2">
      <c r="A145" s="2">
        <v>144</v>
      </c>
      <c r="B145" s="2" t="s">
        <v>514</v>
      </c>
      <c r="C145" s="2">
        <v>826</v>
      </c>
      <c r="D145" s="2" t="s">
        <v>515</v>
      </c>
      <c r="E145" s="2">
        <v>68</v>
      </c>
      <c r="F145" s="2" t="s">
        <v>516</v>
      </c>
      <c r="G145" s="2" t="s">
        <v>517</v>
      </c>
      <c r="H145" s="2" t="str">
        <f>IFERROR(VLOOKUP(C145,[1]Sheet1!$A:$D,4,0),"")</f>
        <v>https://s129144.cdn.mytvnet.vn/vimages/db/bd/dd/dd/dc/cc/dbddd-psctv17ssport-channel-unkn.png</v>
      </c>
      <c r="I145" s="2" t="str">
        <f>IFERROR(VLOOKUP(C145,[1]Sheet1!$A:$D,2,0),"")</f>
        <v>SCTV17 - Ssport</v>
      </c>
      <c r="J145" s="2" t="str">
        <f>IFERROR(VLOOKUP(C145,[1]Sheet1!$A:$D,3,0),"")</f>
        <v>rtp://232.84.3.20:11932</v>
      </c>
      <c r="K145" s="2" t="b">
        <f t="shared" si="4"/>
        <v>1</v>
      </c>
    </row>
    <row r="146" spans="1:11" ht="12.75" x14ac:dyDescent="0.2">
      <c r="A146" s="2">
        <v>145</v>
      </c>
      <c r="B146" s="2" t="s">
        <v>518</v>
      </c>
      <c r="C146" s="2">
        <v>808</v>
      </c>
      <c r="D146" s="2" t="s">
        <v>519</v>
      </c>
      <c r="E146" s="2">
        <v>69</v>
      </c>
      <c r="F146" s="2" t="s">
        <v>520</v>
      </c>
      <c r="G146" s="2" t="s">
        <v>521</v>
      </c>
      <c r="H146" s="2" t="str">
        <f>IFERROR(VLOOKUP(C146,[1]Sheet1!$A:$D,4,0),"")</f>
        <v>https://s129144.cdn.mytvnet.vn/vimages/73/39/96/6a/a3/36/7396a-psctv18phim-channel-unkn.png</v>
      </c>
      <c r="I146" s="2" t="str">
        <f>IFERROR(VLOOKUP(C146,[1]Sheet1!$A:$D,2,0),"")</f>
        <v>SCTV18</v>
      </c>
      <c r="J146" s="2" t="str">
        <f>IFERROR(VLOOKUP(C146,[1]Sheet1!$A:$D,3,0),"")</f>
        <v>rtp://232.84.3.19:11938</v>
      </c>
      <c r="K146" s="2" t="b">
        <f t="shared" si="4"/>
        <v>1</v>
      </c>
    </row>
    <row r="147" spans="1:11" ht="12.75" x14ac:dyDescent="0.2">
      <c r="A147" s="2">
        <v>146</v>
      </c>
      <c r="B147" s="2" t="s">
        <v>522</v>
      </c>
      <c r="C147" s="2">
        <v>811</v>
      </c>
      <c r="D147" s="2" t="s">
        <v>523</v>
      </c>
      <c r="E147" s="2">
        <v>70</v>
      </c>
      <c r="F147" s="2" t="s">
        <v>524</v>
      </c>
      <c r="G147" s="2" t="s">
        <v>525</v>
      </c>
      <c r="H147" s="2" t="str">
        <f>IFERROR(VLOOKUP(C147,[1]Sheet1!$A:$D,4,0),"")</f>
        <v>https://s129144.cdn.mytvnet.vn/vimages/05/50/07/74/46/61/05074-psctv19channelt-channel-unkn.png</v>
      </c>
      <c r="I147" s="2" t="str">
        <f>IFERROR(VLOOKUP(C147,[1]Sheet1!$A:$D,2,0),"")</f>
        <v>SCTV19</v>
      </c>
      <c r="J147" s="2" t="str">
        <f>IFERROR(VLOOKUP(C147,[1]Sheet1!$A:$D,3,0),"")</f>
        <v>rtp://232.84.3.18:11944</v>
      </c>
      <c r="K147" s="2" t="b">
        <f t="shared" si="4"/>
        <v>1</v>
      </c>
    </row>
    <row r="148" spans="1:11" ht="12.75" x14ac:dyDescent="0.2">
      <c r="A148" s="2">
        <v>147</v>
      </c>
      <c r="B148" s="2" t="s">
        <v>526</v>
      </c>
      <c r="C148" s="2">
        <v>772</v>
      </c>
      <c r="D148" s="2" t="s">
        <v>527</v>
      </c>
      <c r="E148" s="2">
        <v>55</v>
      </c>
      <c r="F148" s="2" t="s">
        <v>528</v>
      </c>
      <c r="G148" s="2" t="s">
        <v>529</v>
      </c>
      <c r="H148" s="2" t="str">
        <f>IFERROR(VLOOKUP(C148,[1]Sheet1!$A:$D,4,0),"")</f>
        <v>https://s129144.cdn.mytvnet.vn/vimages/28/84/49/9f/f6/68/2849f-psctv2amc-channel-unkn.png</v>
      </c>
      <c r="I148" s="2" t="str">
        <f>IFERROR(VLOOKUP(C148,[1]Sheet1!$A:$D,2,0),"")</f>
        <v>SCTV2</v>
      </c>
      <c r="J148" s="2" t="str">
        <f>IFERROR(VLOOKUP(C148,[1]Sheet1!$A:$D,3,0),"")</f>
        <v>rtp://232.84.3.33:11854</v>
      </c>
      <c r="K148" s="2" t="b">
        <f t="shared" si="4"/>
        <v>1</v>
      </c>
    </row>
    <row r="149" spans="1:11" ht="12.75" x14ac:dyDescent="0.2">
      <c r="A149" s="2">
        <v>148</v>
      </c>
      <c r="B149" s="2" t="s">
        <v>530</v>
      </c>
      <c r="C149" s="2">
        <v>814</v>
      </c>
      <c r="D149" s="2" t="s">
        <v>531</v>
      </c>
      <c r="E149" s="2">
        <v>71</v>
      </c>
      <c r="F149" s="2" t="s">
        <v>532</v>
      </c>
      <c r="G149" s="2" t="s">
        <v>533</v>
      </c>
      <c r="H149" s="2" t="str">
        <f>IFERROR(VLOOKUP(C149,[1]Sheet1!$A:$D,4,0),"")</f>
        <v>https://s129144.cdn.mytvnet.vn/vimages/36/6e/e9/97/79/91/36e97-psctv20itv-channel-unkn.png</v>
      </c>
      <c r="I149" s="2" t="str">
        <f>IFERROR(VLOOKUP(C149,[1]Sheet1!$A:$D,2,0),"")</f>
        <v>SCTV20</v>
      </c>
      <c r="J149" s="2" t="str">
        <f>IFERROR(VLOOKUP(C149,[1]Sheet1!$A:$D,3,0),"")</f>
        <v>rtp://232.84.3.17:11950</v>
      </c>
      <c r="K149" s="2" t="b">
        <f t="shared" si="4"/>
        <v>1</v>
      </c>
    </row>
    <row r="150" spans="1:11" ht="12.75" x14ac:dyDescent="0.2">
      <c r="A150" s="2">
        <v>149</v>
      </c>
      <c r="B150" s="2" t="s">
        <v>534</v>
      </c>
      <c r="C150" s="2">
        <v>817</v>
      </c>
      <c r="D150" s="2" t="s">
        <v>535</v>
      </c>
      <c r="E150" s="2">
        <v>72</v>
      </c>
      <c r="F150" s="2" t="s">
        <v>536</v>
      </c>
      <c r="G150" s="2" t="s">
        <v>537</v>
      </c>
      <c r="H150" s="2" t="str">
        <f>IFERROR(VLOOKUP(C150,[1]Sheet1!$A:$D,4,0),"")</f>
        <v>https://s129144.cdn.mytvnet.vn/vimages/8d/de/ee/e3/3e/e7/8dee3-psctv21-channel-unkn.png</v>
      </c>
      <c r="I150" s="2" t="str">
        <f>IFERROR(VLOOKUP(C150,[1]Sheet1!$A:$D,2,0),"")</f>
        <v>SCTV21</v>
      </c>
      <c r="J150" s="2" t="str">
        <f>IFERROR(VLOOKUP(C150,[1]Sheet1!$A:$D,3,0),"")</f>
        <v>rtp://232.84.3.16:11956</v>
      </c>
      <c r="K150" s="2" t="b">
        <f t="shared" si="4"/>
        <v>1</v>
      </c>
    </row>
    <row r="151" spans="1:11" ht="12.75" x14ac:dyDescent="0.2">
      <c r="A151" s="2">
        <v>150</v>
      </c>
      <c r="B151" s="2" t="s">
        <v>538</v>
      </c>
      <c r="C151" s="2">
        <v>775</v>
      </c>
      <c r="D151" s="2" t="s">
        <v>539</v>
      </c>
      <c r="E151" s="2">
        <v>56</v>
      </c>
      <c r="F151" s="2" t="s">
        <v>540</v>
      </c>
      <c r="G151" s="2" t="s">
        <v>541</v>
      </c>
      <c r="H151" s="2" t="str">
        <f>IFERROR(VLOOKUP(C151,[1]Sheet1!$A:$D,4,0),"")</f>
        <v>https://s129144.cdn.mytvnet.vn/vimages/28/86/68/8c/c8/8d/2868c-psctv3seetv-channel-unkn.png</v>
      </c>
      <c r="I151" s="2" t="str">
        <f>IFERROR(VLOOKUP(C151,[1]Sheet1!$A:$D,2,0),"")</f>
        <v>SCTV3</v>
      </c>
      <c r="J151" s="2" t="str">
        <f>IFERROR(VLOOKUP(C151,[1]Sheet1!$A:$D,3,0),"")</f>
        <v>rtp://232.84.3.32:11860</v>
      </c>
      <c r="K151" s="2" t="b">
        <f t="shared" si="4"/>
        <v>1</v>
      </c>
    </row>
    <row r="152" spans="1:11" ht="12.75" x14ac:dyDescent="0.2">
      <c r="A152" s="2">
        <v>151</v>
      </c>
      <c r="B152" s="2" t="s">
        <v>542</v>
      </c>
      <c r="C152" s="2">
        <v>778</v>
      </c>
      <c r="D152" s="2" t="s">
        <v>543</v>
      </c>
      <c r="E152" s="2">
        <v>57</v>
      </c>
      <c r="F152" s="2" t="s">
        <v>544</v>
      </c>
      <c r="G152" s="2" t="s">
        <v>545</v>
      </c>
      <c r="H152" s="2" t="str">
        <f>IFERROR(VLOOKUP(C152,[1]Sheet1!$A:$D,4,0),"")</f>
        <v>https://s129144.cdn.mytvnet.vn/vimages/d5/53/34/4b/b2/2a/d534b-psctv4tnghplestviet-channel-unkn.png</v>
      </c>
      <c r="I152" s="2" t="str">
        <f>IFERROR(VLOOKUP(C152,[1]Sheet1!$A:$D,2,0),"")</f>
        <v>SCTV4</v>
      </c>
      <c r="J152" s="2" t="str">
        <f>IFERROR(VLOOKUP(C152,[1]Sheet1!$A:$D,3,0),"")</f>
        <v>rtp://232.84.3.31:11866</v>
      </c>
      <c r="K152" s="2" t="b">
        <f t="shared" si="4"/>
        <v>1</v>
      </c>
    </row>
    <row r="153" spans="1:11" ht="12.75" x14ac:dyDescent="0.2">
      <c r="A153" s="2">
        <v>152</v>
      </c>
      <c r="B153" s="2" t="s">
        <v>546</v>
      </c>
      <c r="C153" s="2">
        <v>781</v>
      </c>
      <c r="D153" s="2" t="s">
        <v>547</v>
      </c>
      <c r="E153" s="2">
        <v>58</v>
      </c>
      <c r="F153" s="2" t="s">
        <v>548</v>
      </c>
      <c r="G153" s="2" t="s">
        <v>549</v>
      </c>
      <c r="H153" s="2" t="str">
        <f>IFERROR(VLOOKUP(C153,[1]Sheet1!$A:$D,4,0),"")</f>
        <v>https://s129144.cdn.mytvnet.vn/vimages/32/27/7b/b4/41/12/327b4-psctv6sngnhc-channel-unkn.png</v>
      </c>
      <c r="I153" s="2" t="str">
        <f>IFERROR(VLOOKUP(C153,[1]Sheet1!$A:$D,2,0),"")</f>
        <v>SCTV6</v>
      </c>
      <c r="J153" s="2" t="str">
        <f>IFERROR(VLOOKUP(C153,[1]Sheet1!$A:$D,3,0),"")</f>
        <v>rtp://232.84.3.30:11872</v>
      </c>
      <c r="K153" s="2" t="b">
        <f t="shared" si="4"/>
        <v>1</v>
      </c>
    </row>
    <row r="154" spans="1:11" ht="12.75" x14ac:dyDescent="0.2">
      <c r="A154" s="2">
        <v>153</v>
      </c>
      <c r="B154" s="2" t="s">
        <v>550</v>
      </c>
      <c r="C154" s="2">
        <v>784</v>
      </c>
      <c r="D154" s="2" t="s">
        <v>551</v>
      </c>
      <c r="E154" s="2">
        <v>59</v>
      </c>
      <c r="F154" s="2" t="s">
        <v>552</v>
      </c>
      <c r="G154" s="2" t="s">
        <v>553</v>
      </c>
      <c r="H154" s="2" t="str">
        <f>IFERROR(VLOOKUP(C154,[1]Sheet1!$A:$D,4,0),"")</f>
        <v>https://s129144.cdn.mytvnet.vn/vimages/0b/b7/70/0a/a8/85/0b70a-psctv7snkhuvnnghtnghp-channel-unkn.png</v>
      </c>
      <c r="I154" s="2" t="str">
        <f>IFERROR(VLOOKUP(C154,[1]Sheet1!$A:$D,2,0),"")</f>
        <v>SCTV7</v>
      </c>
      <c r="J154" s="2" t="str">
        <f>IFERROR(VLOOKUP(C154,[1]Sheet1!$A:$D,3,0),"")</f>
        <v>rtp://232.84.3.29:11878</v>
      </c>
      <c r="K154" s="2" t="b">
        <f t="shared" si="4"/>
        <v>1</v>
      </c>
    </row>
    <row r="155" spans="1:11" ht="12.75" x14ac:dyDescent="0.2">
      <c r="A155" s="2">
        <v>154</v>
      </c>
      <c r="B155" s="2" t="s">
        <v>554</v>
      </c>
      <c r="C155" s="2">
        <v>787</v>
      </c>
      <c r="D155" s="2" t="s">
        <v>555</v>
      </c>
      <c r="E155" s="2">
        <v>60</v>
      </c>
      <c r="F155" s="2" t="s">
        <v>556</v>
      </c>
      <c r="G155" s="2" t="s">
        <v>557</v>
      </c>
      <c r="H155" s="2" t="str">
        <f>IFERROR(VLOOKUP(C155,[1]Sheet1!$A:$D,4,0),"")</f>
        <v>https://s129144.cdn.mytvnet.vn/vimages/6a/a5/5b/bc/c3/3e/6a5bc-psctv8vitv-channel-unkn.png</v>
      </c>
      <c r="I155" s="2" t="str">
        <f>IFERROR(VLOOKUP(C155,[1]Sheet1!$A:$D,2,0),"")</f>
        <v>SCTV8</v>
      </c>
      <c r="J155" s="2" t="str">
        <f>IFERROR(VLOOKUP(C155,[1]Sheet1!$A:$D,3,0),"")</f>
        <v>rtp://232.84.3.28:11884</v>
      </c>
      <c r="K155" s="2" t="b">
        <f t="shared" si="4"/>
        <v>1</v>
      </c>
    </row>
    <row r="156" spans="1:11" ht="12.75" x14ac:dyDescent="0.2">
      <c r="A156" s="2">
        <v>155</v>
      </c>
      <c r="B156" s="2" t="s">
        <v>558</v>
      </c>
      <c r="C156" s="2">
        <v>790</v>
      </c>
      <c r="D156" s="2" t="s">
        <v>559</v>
      </c>
      <c r="E156" s="2">
        <v>61</v>
      </c>
      <c r="F156" s="2" t="s">
        <v>560</v>
      </c>
      <c r="G156" s="2" t="s">
        <v>561</v>
      </c>
      <c r="H156" s="2" t="str">
        <f>IFERROR(VLOOKUP(C156,[1]Sheet1!$A:$D,4,0),"")</f>
        <v>https://s129144.cdn.mytvnet.vn/vimages/b1/16/63/3d/d1/14/b163d-psctv9phimchu-channel-unkn.png</v>
      </c>
      <c r="I156" s="2" t="str">
        <f>IFERROR(VLOOKUP(C156,[1]Sheet1!$A:$D,2,0),"")</f>
        <v>SCTV9</v>
      </c>
      <c r="J156" s="2" t="str">
        <f>IFERROR(VLOOKUP(C156,[1]Sheet1!$A:$D,3,0),"")</f>
        <v>rtp://232.84.3.27:11890</v>
      </c>
      <c r="K156" s="2" t="b">
        <f t="shared" si="4"/>
        <v>1</v>
      </c>
    </row>
    <row r="157" spans="1:11" ht="12.75" x14ac:dyDescent="0.2">
      <c r="A157" s="2">
        <v>156</v>
      </c>
      <c r="B157" s="2" t="s">
        <v>562</v>
      </c>
      <c r="C157" s="2">
        <v>52</v>
      </c>
      <c r="D157" s="2" t="s">
        <v>563</v>
      </c>
      <c r="E157" s="2">
        <v>183</v>
      </c>
      <c r="F157" s="2" t="s">
        <v>564</v>
      </c>
      <c r="G157" s="2" t="s">
        <v>563</v>
      </c>
      <c r="H157" s="2" t="str">
        <f>IFERROR(VLOOKUP(C157,[1]Sheet1!$A:$D,4,0),"")</f>
        <v>https://s129144.cdn.mytvnet.vn/vimages/1f/f2/2a/af/f0/02/1f2af-pcnthtv3-channel-unkn.png</v>
      </c>
      <c r="I157" s="2" t="str">
        <f>IFERROR(VLOOKUP(C157,[1]Sheet1!$A:$D,2,0),"")</f>
        <v>Cần Thơ TV3</v>
      </c>
      <c r="J157" s="2" t="str">
        <f>IFERROR(VLOOKUP(C157,[1]Sheet1!$A:$D,3,0),"")</f>
        <v>rtp://232.84.3.97:11470</v>
      </c>
      <c r="K157" s="2" t="b">
        <f t="shared" si="4"/>
        <v>1</v>
      </c>
    </row>
    <row r="158" spans="1:11" ht="12.75" x14ac:dyDescent="0.2">
      <c r="A158" s="2">
        <v>157</v>
      </c>
      <c r="B158" s="2" t="s">
        <v>565</v>
      </c>
      <c r="C158" s="2">
        <v>157</v>
      </c>
      <c r="D158" s="2" t="s">
        <v>566</v>
      </c>
      <c r="E158" s="2">
        <v>184</v>
      </c>
      <c r="F158" s="2" t="s">
        <v>567</v>
      </c>
      <c r="G158" s="2" t="s">
        <v>568</v>
      </c>
      <c r="H158" s="2" t="str">
        <f>IFERROR(VLOOKUP(C158,[1]Sheet1!$A:$D,4,0),"")</f>
        <v>https://s129144.cdn.mytvnet.vn/vimages/bb/b7/75/54/4d/df/bb754-psnlatv-channel-unkn.png</v>
      </c>
      <c r="I158" s="2" t="str">
        <f>IFERROR(VLOOKUP(C158,[1]Sheet1!$A:$D,2,0),"")</f>
        <v>Sơn La TV</v>
      </c>
      <c r="J158" s="2" t="str">
        <f>IFERROR(VLOOKUP(C158,[1]Sheet1!$A:$D,3,0),"")</f>
        <v>rtp://232.84.1.184:9078</v>
      </c>
      <c r="K158" s="2" t="b">
        <f t="shared" si="4"/>
        <v>1</v>
      </c>
    </row>
    <row r="159" spans="1:11" ht="12.75" x14ac:dyDescent="0.2">
      <c r="A159" s="2">
        <v>158</v>
      </c>
      <c r="B159" s="2" t="s">
        <v>569</v>
      </c>
      <c r="C159" s="2">
        <v>632</v>
      </c>
      <c r="D159" s="2" t="s">
        <v>570</v>
      </c>
      <c r="E159" s="2">
        <v>117</v>
      </c>
      <c r="F159" s="2" t="s">
        <v>571</v>
      </c>
      <c r="G159" s="2" t="s">
        <v>572</v>
      </c>
      <c r="H159" s="2" t="str">
        <f>IFERROR(VLOOKUP(C159,[1]Sheet1!$A:$D,4,0),"")</f>
        <v>https://s129144.cdn.mytvnet.vn/vimages/60/0c/ce/e6/6b/b9/60ce6-pspotvhd-channel-unkn.png</v>
      </c>
      <c r="I159" s="2" t="str">
        <f>IFERROR(VLOOKUP(C159,[1]Sheet1!$A:$D,2,0),"")</f>
        <v>SPOTV (HD)</v>
      </c>
      <c r="J159" s="2" t="str">
        <f>IFERROR(VLOOKUP(C159,[1]Sheet1!$A:$D,3,0),"")</f>
        <v>rtp://232.84.3.111:10666</v>
      </c>
      <c r="K159" s="2" t="b">
        <f t="shared" si="4"/>
        <v>1</v>
      </c>
    </row>
    <row r="160" spans="1:11" ht="12.75" x14ac:dyDescent="0.2">
      <c r="A160" s="2">
        <v>159</v>
      </c>
      <c r="B160" s="2" t="s">
        <v>573</v>
      </c>
      <c r="C160" s="2">
        <v>633</v>
      </c>
      <c r="D160" s="2" t="s">
        <v>574</v>
      </c>
      <c r="E160" s="2">
        <v>118</v>
      </c>
      <c r="F160" s="2" t="s">
        <v>575</v>
      </c>
      <c r="G160" s="2" t="s">
        <v>576</v>
      </c>
      <c r="H160" s="2" t="str">
        <f>IFERROR(VLOOKUP(C160,[1]Sheet1!$A:$D,4,0),"")</f>
        <v>https://s129144.cdn.mytvnet.vn/vimages/53/3d/db/b8/85/59/53db8-pspotv2hd-channel-unkn.png</v>
      </c>
      <c r="I160" s="2" t="str">
        <f>IFERROR(VLOOKUP(C160,[1]Sheet1!$A:$D,2,0),"")</f>
        <v>SPOTV2 (HD)</v>
      </c>
      <c r="J160" s="2" t="str">
        <f>IFERROR(VLOOKUP(C160,[1]Sheet1!$A:$D,3,0),"")</f>
        <v>rtp://232.84.3.129:10672</v>
      </c>
      <c r="K160" s="2" t="b">
        <f t="shared" si="4"/>
        <v>1</v>
      </c>
    </row>
    <row r="161" spans="1:11" ht="12.75" x14ac:dyDescent="0.2">
      <c r="A161" s="2">
        <v>160</v>
      </c>
      <c r="B161" s="2" t="s">
        <v>577</v>
      </c>
      <c r="C161" s="2">
        <v>53</v>
      </c>
      <c r="D161" s="2" t="s">
        <v>578</v>
      </c>
      <c r="E161" s="2">
        <v>185</v>
      </c>
      <c r="F161" s="2" t="s">
        <v>579</v>
      </c>
      <c r="G161" s="2" t="s">
        <v>578</v>
      </c>
      <c r="H161" s="2" t="str">
        <f>IFERROR(VLOOKUP(C161,[1]Sheet1!$A:$D,4,0),"")</f>
        <v>https://s129144.cdn.mytvnet.vn/vimages/c5/5f/f5/5b/bd/df/c5f5b-ptyninh2hd-channel-unkn.png</v>
      </c>
      <c r="I161" s="2" t="str">
        <f>IFERROR(VLOOKUP(C161,[1]Sheet1!$A:$D,2,0),"")</f>
        <v>Tây Ninh 2 (HD)</v>
      </c>
      <c r="J161" s="2" t="str">
        <f>IFERROR(VLOOKUP(C161,[1]Sheet1!$A:$D,3,0),"")</f>
        <v>rtp://232.84.3.233:11320</v>
      </c>
      <c r="K161" s="2" t="b">
        <f t="shared" si="4"/>
        <v>1</v>
      </c>
    </row>
    <row r="162" spans="1:11" ht="12.75" x14ac:dyDescent="0.2">
      <c r="A162" s="2">
        <v>161</v>
      </c>
      <c r="B162" s="2" t="s">
        <v>580</v>
      </c>
      <c r="C162" s="2">
        <v>122</v>
      </c>
      <c r="D162" s="2" t="s">
        <v>581</v>
      </c>
      <c r="E162" s="2">
        <v>186</v>
      </c>
      <c r="F162" s="2" t="s">
        <v>582</v>
      </c>
      <c r="G162" s="2" t="s">
        <v>583</v>
      </c>
      <c r="H162" s="2" t="str">
        <f>IFERROR(VLOOKUP(C162,[1]Sheet1!$A:$D,4,0),"")</f>
        <v>https://s129144.cdn.mytvnet.vn/vimages/88/80/01/11/1f/f8/88011-pthibnhtv-channel-unkn.png</v>
      </c>
      <c r="I162" s="2" t="str">
        <f>IFERROR(VLOOKUP(C162,[1]Sheet1!$A:$D,2,0),"")</f>
        <v>Thái Bình TV</v>
      </c>
      <c r="J162" s="2" t="str">
        <f>IFERROR(VLOOKUP(C162,[1]Sheet1!$A:$D,3,0),"")</f>
        <v>rtp://232.84.2.100:9090</v>
      </c>
      <c r="K162" s="2" t="b">
        <f t="shared" ref="K162:K189" si="5">D162=I162</f>
        <v>1</v>
      </c>
    </row>
    <row r="163" spans="1:11" ht="12.75" x14ac:dyDescent="0.2">
      <c r="A163" s="2">
        <v>162</v>
      </c>
      <c r="B163" s="2" t="s">
        <v>584</v>
      </c>
      <c r="C163" s="2">
        <v>406</v>
      </c>
      <c r="D163" s="2" t="s">
        <v>585</v>
      </c>
      <c r="E163" s="2">
        <v>187</v>
      </c>
      <c r="F163" s="2" t="s">
        <v>586</v>
      </c>
      <c r="G163" s="2" t="s">
        <v>585</v>
      </c>
      <c r="H163" s="2" t="str">
        <f>IFERROR(VLOOKUP(C163,[1]Sheet1!$A:$D,4,0),"")</f>
        <v>https://s129144.cdn.mytvnet.vn/vimages/d5/54/40/00/00/03/d5400-pthinguyn-channel-unkn.png</v>
      </c>
      <c r="I163" s="2" t="str">
        <f>IFERROR(VLOOKUP(C163,[1]Sheet1!$A:$D,2,0),"")</f>
        <v>Thái Nguyên</v>
      </c>
      <c r="J163" s="2" t="str">
        <f>IFERROR(VLOOKUP(C163,[1]Sheet1!$A:$D,3,0),"")</f>
        <v>rtp://232.84.3.146:10774</v>
      </c>
      <c r="K163" s="2" t="b">
        <f t="shared" si="5"/>
        <v>1</v>
      </c>
    </row>
    <row r="164" spans="1:11" ht="12.75" x14ac:dyDescent="0.2">
      <c r="A164" s="2">
        <v>163</v>
      </c>
      <c r="B164" s="2" t="s">
        <v>587</v>
      </c>
      <c r="C164" s="2">
        <v>477</v>
      </c>
      <c r="D164" s="2" t="s">
        <v>588</v>
      </c>
      <c r="E164" s="2">
        <v>188</v>
      </c>
      <c r="F164" s="2" t="s">
        <v>589</v>
      </c>
      <c r="G164" s="2" t="s">
        <v>590</v>
      </c>
      <c r="H164" s="2" t="str">
        <f>IFERROR(VLOOKUP(C164,[1]Sheet1!$A:$D,4,0),"")</f>
        <v>https://s129144.cdn.mytvnet.vn/vimages/54/4c/c8/80/06/6f/54c80-pthanhhatvhd-channel-unkn.png</v>
      </c>
      <c r="I164" s="2" t="str">
        <f>IFERROR(VLOOKUP(C164,[1]Sheet1!$A:$D,2,0),"")</f>
        <v>Thanh Hóa TV HD</v>
      </c>
      <c r="J164" s="2" t="str">
        <f>IFERROR(VLOOKUP(C164,[1]Sheet1!$A:$D,3,0),"")</f>
        <v>rtp://232.84.3.198:11110</v>
      </c>
      <c r="K164" s="2" t="b">
        <f t="shared" si="5"/>
        <v>1</v>
      </c>
    </row>
    <row r="165" spans="1:11" ht="12.75" x14ac:dyDescent="0.2">
      <c r="A165" s="2">
        <v>164</v>
      </c>
      <c r="B165" s="2" t="s">
        <v>591</v>
      </c>
      <c r="C165" s="2">
        <v>616</v>
      </c>
      <c r="D165" s="2" t="s">
        <v>592</v>
      </c>
      <c r="E165" s="2">
        <v>159</v>
      </c>
      <c r="F165" s="2" t="s">
        <v>593</v>
      </c>
      <c r="G165" s="2" t="s">
        <v>594</v>
      </c>
      <c r="H165" s="2" t="str">
        <f>IFERROR(VLOOKUP(C165,[1]Sheet1!$A:$D,4,0),"")</f>
        <v>https://s129144.cdn.mytvnet.vn/vimages/b4/47/7b/b1/1e/e8/b47b1-pthp-channel-unkn.png</v>
      </c>
      <c r="I165" s="2" t="str">
        <f>IFERROR(VLOOKUP(C165,[1]Sheet1!$A:$D,2,0),"")</f>
        <v>THP+</v>
      </c>
      <c r="J165" s="2" t="str">
        <f>IFERROR(VLOOKUP(C165,[1]Sheet1!$A:$D,3,0),"")</f>
        <v>rtp://232.84.3.83:11554</v>
      </c>
      <c r="K165" s="2" t="b">
        <f t="shared" si="5"/>
        <v>1</v>
      </c>
    </row>
    <row r="166" spans="1:11" ht="12.75" x14ac:dyDescent="0.2">
      <c r="A166" s="2">
        <v>165</v>
      </c>
      <c r="B166" s="2" t="s">
        <v>595</v>
      </c>
      <c r="C166" s="2">
        <v>54</v>
      </c>
      <c r="D166" s="2" t="s">
        <v>596</v>
      </c>
      <c r="E166" s="2">
        <v>189</v>
      </c>
      <c r="F166" s="2" t="s">
        <v>597</v>
      </c>
      <c r="G166" s="2" t="s">
        <v>596</v>
      </c>
      <c r="H166" s="2" t="str">
        <f>IFERROR(VLOOKUP(C166,[1]Sheet1!$A:$D,4,0),"")</f>
        <v>https://s129144.cdn.mytvnet.vn/vimages/89/9e/ef/f7/7a/ad/89ef7-pngthptv2-channel-unkn.png</v>
      </c>
      <c r="I166" s="2" t="str">
        <f>IFERROR(VLOOKUP(C166,[1]Sheet1!$A:$D,2,0),"")</f>
        <v>Đồng Tháp TV2</v>
      </c>
      <c r="J166" s="2" t="str">
        <f>IFERROR(VLOOKUP(C166,[1]Sheet1!$A:$D,3,0),"")</f>
        <v>rtp://232.84.3.204:11146</v>
      </c>
      <c r="K166" s="2" t="b">
        <f t="shared" si="5"/>
        <v>1</v>
      </c>
    </row>
    <row r="167" spans="1:11" ht="12.75" x14ac:dyDescent="0.2">
      <c r="A167" s="2">
        <v>166</v>
      </c>
      <c r="B167" s="2" t="s">
        <v>598</v>
      </c>
      <c r="C167" s="2">
        <v>596</v>
      </c>
      <c r="D167" s="2" t="s">
        <v>599</v>
      </c>
      <c r="E167" s="2">
        <v>87</v>
      </c>
      <c r="F167" s="2" t="s">
        <v>600</v>
      </c>
      <c r="G167" s="2" t="s">
        <v>601</v>
      </c>
      <c r="H167" s="2" t="str">
        <f>IFERROR(VLOOKUP(C167,[1]Sheet1!$A:$D,4,0),"")</f>
        <v>https://s129144.cdn.mytvnet.vn/vimages/ce/e5/50/09/97/74/ce509-ptlchd-channel-unkn.png</v>
      </c>
      <c r="I167" s="2" t="str">
        <f>IFERROR(VLOOKUP(C167,[1]Sheet1!$A:$D,2,0),"")</f>
        <v>TLC HD</v>
      </c>
      <c r="J167" s="2">
        <f>IFERROR(VLOOKUP(C167,[1]Sheet1!$A:$D,3,0),"")</f>
        <v>0</v>
      </c>
      <c r="K167" s="2" t="b">
        <f t="shared" si="5"/>
        <v>1</v>
      </c>
    </row>
    <row r="168" spans="1:11" ht="12.75" x14ac:dyDescent="0.2">
      <c r="A168" s="2">
        <v>167</v>
      </c>
      <c r="B168" s="2" t="s">
        <v>602</v>
      </c>
      <c r="C168" s="2">
        <v>175</v>
      </c>
      <c r="D168" s="2" t="s">
        <v>603</v>
      </c>
      <c r="E168" s="2">
        <v>190</v>
      </c>
      <c r="F168" s="2" t="s">
        <v>604</v>
      </c>
      <c r="G168" s="2" t="s">
        <v>603</v>
      </c>
      <c r="H168" s="2" t="str">
        <f>IFERROR(VLOOKUP(C168,[1]Sheet1!$A:$D,4,0),"")</f>
        <v>https://s129144.cdn.mytvnet.vn/vimages/ed/dd/d9/94/47/74/edd94-pvnhlong5-channel-unkn.png</v>
      </c>
      <c r="I168" s="2" t="str">
        <f>IFERROR(VLOOKUP(C168,[1]Sheet1!$A:$D,2,0),"")</f>
        <v>Vĩnh Long 5</v>
      </c>
      <c r="J168" s="2" t="str">
        <f>IFERROR(VLOOKUP(C168,[1]Sheet1!$A:$D,3,0),"")</f>
        <v>rtp://232.84.2.102:9114</v>
      </c>
      <c r="K168" s="2" t="b">
        <f t="shared" si="5"/>
        <v>1</v>
      </c>
    </row>
    <row r="169" spans="1:11" ht="12.75" x14ac:dyDescent="0.2">
      <c r="A169" s="2">
        <v>168</v>
      </c>
      <c r="B169" s="2" t="s">
        <v>605</v>
      </c>
      <c r="C169" s="2">
        <v>154</v>
      </c>
      <c r="D169" s="2" t="s">
        <v>606</v>
      </c>
      <c r="E169" s="2">
        <v>191</v>
      </c>
      <c r="F169" s="2" t="s">
        <v>607</v>
      </c>
      <c r="G169" s="2" t="s">
        <v>608</v>
      </c>
      <c r="H169" s="2" t="str">
        <f>IFERROR(VLOOKUP(C169,[1]Sheet1!$A:$D,4,0),"")</f>
        <v>https://s129144.cdn.mytvnet.vn/vimages/b6/61/1c/cf/fe/e0/b61cf-ptuynquangtv-channel-unkn.png</v>
      </c>
      <c r="I169" s="2" t="str">
        <f>IFERROR(VLOOKUP(C169,[1]Sheet1!$A:$D,2,0),"")</f>
        <v>Tuyên Quang TV</v>
      </c>
      <c r="J169" s="2" t="str">
        <f>IFERROR(VLOOKUP(C169,[1]Sheet1!$A:$D,3,0),"")</f>
        <v>rtp://232.84.2.91:9138</v>
      </c>
      <c r="K169" s="2" t="b">
        <f t="shared" si="5"/>
        <v>1</v>
      </c>
    </row>
    <row r="170" spans="1:11" ht="12.75" x14ac:dyDescent="0.2">
      <c r="A170" s="2">
        <v>169</v>
      </c>
      <c r="B170" s="2" t="s">
        <v>609</v>
      </c>
      <c r="C170" s="2">
        <v>83</v>
      </c>
      <c r="D170" s="2" t="s">
        <v>610</v>
      </c>
      <c r="E170" s="2">
        <v>116</v>
      </c>
      <c r="F170" s="2" t="s">
        <v>611</v>
      </c>
      <c r="G170" s="2" t="s">
        <v>612</v>
      </c>
      <c r="H170" s="2" t="str">
        <f>IFERROR(VLOOKUP(C170,[1]Sheet1!$A:$D,4,0),"")</f>
        <v>https://s129144.cdn.mytvnet.vn/vimages/79/92/2a/a7/76/64/792a7-ptv5monde-channel-unkn.png</v>
      </c>
      <c r="I170" s="2" t="str">
        <f>IFERROR(VLOOKUP(C170,[1]Sheet1!$A:$D,2,0),"")</f>
        <v>TV5 MONDE</v>
      </c>
      <c r="J170" s="2" t="str">
        <f>IFERROR(VLOOKUP(C170,[1]Sheet1!$A:$D,3,0),"")</f>
        <v>rtp://232.84.1.45:8250</v>
      </c>
      <c r="K170" s="2" t="b">
        <f t="shared" si="5"/>
        <v>1</v>
      </c>
    </row>
    <row r="171" spans="1:11" ht="12.75" x14ac:dyDescent="0.2">
      <c r="A171" s="2">
        <v>170</v>
      </c>
      <c r="B171" s="2" t="s">
        <v>613</v>
      </c>
      <c r="C171" s="2">
        <v>421</v>
      </c>
      <c r="D171" s="2" t="s">
        <v>614</v>
      </c>
      <c r="E171" s="2">
        <v>192</v>
      </c>
      <c r="F171" s="2" t="s">
        <v>615</v>
      </c>
      <c r="G171" s="2" t="s">
        <v>616</v>
      </c>
      <c r="H171" s="2" t="str">
        <f>IFERROR(VLOOKUP(C171,[1]Sheet1!$A:$D,4,0),"")</f>
        <v>https://s129144.cdn.mytvnet.vn/vimages/64/47/7e/e1/12/2d/647e1-pvnhlong1hd-channel-unkn.png</v>
      </c>
      <c r="I171" s="2" t="str">
        <f>IFERROR(VLOOKUP(C171,[1]Sheet1!$A:$D,2,0),"")</f>
        <v>Vĩnh Long 1 HD</v>
      </c>
      <c r="J171" s="2" t="str">
        <f>IFERROR(VLOOKUP(C171,[1]Sheet1!$A:$D,3,0),"")</f>
        <v>rtp://232.84.3.152:10882</v>
      </c>
      <c r="K171" s="2" t="b">
        <f t="shared" si="5"/>
        <v>1</v>
      </c>
    </row>
    <row r="172" spans="1:11" ht="12.75" x14ac:dyDescent="0.2">
      <c r="A172" s="2">
        <v>171</v>
      </c>
      <c r="B172" s="2" t="s">
        <v>617</v>
      </c>
      <c r="C172" s="2">
        <v>423</v>
      </c>
      <c r="D172" s="2" t="s">
        <v>618</v>
      </c>
      <c r="E172" s="2">
        <v>193</v>
      </c>
      <c r="F172" s="2" t="s">
        <v>619</v>
      </c>
      <c r="G172" s="2" t="s">
        <v>620</v>
      </c>
      <c r="H172" s="2" t="str">
        <f>IFERROR(VLOOKUP(C172,[1]Sheet1!$A:$D,4,0),"")</f>
        <v>https://s129144.cdn.mytvnet.vn/vimages/71/1b/bb/bd/d2/24/71bbd-pvnhlong2hd-channel-unkn.png</v>
      </c>
      <c r="I172" s="2" t="str">
        <f>IFERROR(VLOOKUP(C172,[1]Sheet1!$A:$D,2,0),"")</f>
        <v>Vĩnh Long 2 HD</v>
      </c>
      <c r="J172" s="2" t="str">
        <f>IFERROR(VLOOKUP(C172,[1]Sheet1!$A:$D,3,0),"")</f>
        <v>rtp://232.84.3.164:10888</v>
      </c>
      <c r="K172" s="2" t="b">
        <f t="shared" si="5"/>
        <v>1</v>
      </c>
    </row>
    <row r="173" spans="1:11" ht="12.75" x14ac:dyDescent="0.2">
      <c r="A173" s="2">
        <v>172</v>
      </c>
      <c r="B173" s="2" t="s">
        <v>621</v>
      </c>
      <c r="C173" s="2">
        <v>425</v>
      </c>
      <c r="D173" s="2" t="s">
        <v>622</v>
      </c>
      <c r="E173" s="2">
        <v>194</v>
      </c>
      <c r="F173" s="2" t="s">
        <v>623</v>
      </c>
      <c r="G173" s="2" t="s">
        <v>624</v>
      </c>
      <c r="H173" s="2" t="str">
        <f>IFERROR(VLOOKUP(C173,[1]Sheet1!$A:$D,4,0),"")</f>
        <v>https://s129144.cdn.mytvnet.vn/vimages/8d/d7/7b/b4/40/02/8d7b4-pvnhlong3hd-channel-unkn.png</v>
      </c>
      <c r="I173" s="2" t="str">
        <f>IFERROR(VLOOKUP(C173,[1]Sheet1!$A:$D,2,0),"")</f>
        <v>Vĩnh Long 3 HD</v>
      </c>
      <c r="J173" s="2" t="str">
        <f>IFERROR(VLOOKUP(C173,[1]Sheet1!$A:$D,3,0),"")</f>
        <v>rtp://232.84.3.165:10900</v>
      </c>
      <c r="K173" s="2" t="b">
        <f t="shared" si="5"/>
        <v>1</v>
      </c>
    </row>
    <row r="174" spans="1:11" ht="12.75" x14ac:dyDescent="0.2">
      <c r="A174" s="2">
        <v>173</v>
      </c>
      <c r="B174" s="2" t="s">
        <v>625</v>
      </c>
      <c r="C174" s="2">
        <v>429</v>
      </c>
      <c r="D174" s="2" t="s">
        <v>626</v>
      </c>
      <c r="E174" s="2">
        <v>195</v>
      </c>
      <c r="F174" s="2" t="s">
        <v>627</v>
      </c>
      <c r="G174" s="2" t="s">
        <v>628</v>
      </c>
      <c r="H174" s="2" t="str">
        <f>IFERROR(VLOOKUP(C174,[1]Sheet1!$A:$D,4,0),"")</f>
        <v>https://s129144.cdn.mytvnet.vn/vimages/f6/6b/b2/29/99/9c/f6b29-pvnhlong4hd-channel-unkn.png</v>
      </c>
      <c r="I174" s="2" t="str">
        <f>IFERROR(VLOOKUP(C174,[1]Sheet1!$A:$D,2,0),"")</f>
        <v>Vĩnh Long 4 HD</v>
      </c>
      <c r="J174" s="2" t="str">
        <f>IFERROR(VLOOKUP(C174,[1]Sheet1!$A:$D,3,0),"")</f>
        <v>rtp://232.84.3.160:10912</v>
      </c>
      <c r="K174" s="2" t="b">
        <f t="shared" si="5"/>
        <v>1</v>
      </c>
    </row>
    <row r="175" spans="1:11" ht="12.75" x14ac:dyDescent="0.2">
      <c r="A175" s="2">
        <v>174</v>
      </c>
      <c r="B175" s="2" t="s">
        <v>629</v>
      </c>
      <c r="C175" s="2">
        <v>57</v>
      </c>
      <c r="D175" s="2" t="s">
        <v>630</v>
      </c>
      <c r="E175" s="2">
        <v>196</v>
      </c>
      <c r="F175" s="2" t="s">
        <v>631</v>
      </c>
      <c r="G175" s="2" t="s">
        <v>630</v>
      </c>
      <c r="H175" s="2" t="str">
        <f>IFERROR(VLOOKUP(C175,[1]Sheet1!$A:$D,4,0),"")</f>
        <v>https://s129144.cdn.mytvnet.vn/vimages/99/94/4e/e0/05/5d/994e0-pvnhphc-channel-unkn.png</v>
      </c>
      <c r="I175" s="2" t="str">
        <f>IFERROR(VLOOKUP(C175,[1]Sheet1!$A:$D,2,0),"")</f>
        <v>Vĩnh Phúc</v>
      </c>
      <c r="J175" s="2" t="str">
        <f>IFERROR(VLOOKUP(C175,[1]Sheet1!$A:$D,3,0),"")</f>
        <v>rtp://232.84.2.83:9156</v>
      </c>
      <c r="K175" s="2" t="b">
        <f t="shared" si="5"/>
        <v>1</v>
      </c>
    </row>
    <row r="176" spans="1:11" ht="12.75" x14ac:dyDescent="0.2">
      <c r="A176" s="2">
        <v>175</v>
      </c>
      <c r="B176" s="2" t="s">
        <v>632</v>
      </c>
      <c r="C176" s="2">
        <v>212</v>
      </c>
      <c r="D176" s="2" t="s">
        <v>633</v>
      </c>
      <c r="E176" s="2">
        <v>6</v>
      </c>
      <c r="F176" s="2" t="s">
        <v>634</v>
      </c>
      <c r="G176" s="2" t="s">
        <v>635</v>
      </c>
      <c r="H176" s="2" t="str">
        <f>IFERROR(VLOOKUP(C176,[1]Sheet1!$A:$D,4,0),"")</f>
        <v>https://s129144.cdn.mytvnet.vn/vimages/46/68/84/40/06/6a/46840-pvtvcnth-channel-unkn.png</v>
      </c>
      <c r="I176" s="2" t="str">
        <f>IFERROR(VLOOKUP(C176,[1]Sheet1!$A:$D,2,0),"")</f>
        <v>VTV Cần Thơ</v>
      </c>
      <c r="J176" s="2" t="str">
        <f>IFERROR(VLOOKUP(C176,[1]Sheet1!$A:$D,3,0),"")</f>
        <v>rtp://232.84.1.119:10266</v>
      </c>
      <c r="K176" s="2" t="b">
        <f t="shared" si="5"/>
        <v>1</v>
      </c>
    </row>
    <row r="177" spans="1:11" ht="12.75" x14ac:dyDescent="0.2">
      <c r="A177" s="2">
        <v>176</v>
      </c>
      <c r="B177" s="2" t="s">
        <v>636</v>
      </c>
      <c r="C177" s="2">
        <v>210</v>
      </c>
      <c r="D177" s="2" t="s">
        <v>637</v>
      </c>
      <c r="E177" s="2">
        <v>1</v>
      </c>
      <c r="F177" s="2" t="s">
        <v>638</v>
      </c>
      <c r="G177" s="2" t="s">
        <v>637</v>
      </c>
      <c r="H177" s="2" t="str">
        <f>IFERROR(VLOOKUP(C177,[1]Sheet1!$A:$D,4,0),"")</f>
        <v>https://s129144.cdn.mytvnet.vn/vimages/09/99/9f/f7/7a/ab/099f7-pvtv1hd-channel-unkn.png</v>
      </c>
      <c r="I177" s="2" t="str">
        <f>IFERROR(VLOOKUP(C177,[1]Sheet1!$A:$D,2,0),"")</f>
        <v>VTV1 HD</v>
      </c>
      <c r="J177" s="2" t="str">
        <f>IFERROR(VLOOKUP(C177,[1]Sheet1!$A:$D,3,0),"")</f>
        <v>rtp://232.84.1.117:10254</v>
      </c>
      <c r="K177" s="2" t="b">
        <f t="shared" si="5"/>
        <v>1</v>
      </c>
    </row>
    <row r="178" spans="1:11" ht="12.75" x14ac:dyDescent="0.2">
      <c r="A178" s="2">
        <v>177</v>
      </c>
      <c r="B178" s="2" t="s">
        <v>639</v>
      </c>
      <c r="C178" s="2">
        <v>377</v>
      </c>
      <c r="D178" s="2" t="s">
        <v>640</v>
      </c>
      <c r="E178" s="2">
        <v>2</v>
      </c>
      <c r="F178" s="2" t="s">
        <v>641</v>
      </c>
      <c r="G178" s="2" t="s">
        <v>640</v>
      </c>
      <c r="H178" s="2" t="str">
        <f>IFERROR(VLOOKUP(C178,[1]Sheet1!$A:$D,4,0),"")</f>
        <v>https://s129144.cdn.mytvnet.vn/vimages/17/7c/c2/2c/c5/50/17c2c-pvtv2hd-channel-unkn.png</v>
      </c>
      <c r="I178" s="2" t="str">
        <f>IFERROR(VLOOKUP(C178,[1]Sheet1!$A:$D,2,0),"")</f>
        <v>VTV2 HD</v>
      </c>
      <c r="J178" s="2" t="str">
        <f>IFERROR(VLOOKUP(C178,[1]Sheet1!$A:$D,3,0),"")</f>
        <v>rtp://232.84.2.31:10594</v>
      </c>
      <c r="K178" s="2" t="b">
        <f t="shared" si="5"/>
        <v>1</v>
      </c>
    </row>
    <row r="179" spans="1:11" ht="12.75" x14ac:dyDescent="0.2">
      <c r="A179" s="2">
        <v>178</v>
      </c>
      <c r="B179" s="2" t="s">
        <v>642</v>
      </c>
      <c r="C179" s="2">
        <v>211</v>
      </c>
      <c r="D179" s="2" t="s">
        <v>643</v>
      </c>
      <c r="E179" s="2">
        <v>3</v>
      </c>
      <c r="F179" s="2" t="s">
        <v>644</v>
      </c>
      <c r="G179" s="2" t="s">
        <v>643</v>
      </c>
      <c r="H179" s="2" t="str">
        <f>IFERROR(VLOOKUP(C179,[1]Sheet1!$A:$D,4,0),"")</f>
        <v>https://s129144.cdn.mytvnet.vn/vimages/7a/a1/11/13/30/0c/7a113-pvtv3hd-channel-unkn.png</v>
      </c>
      <c r="I179" s="2" t="str">
        <f>IFERROR(VLOOKUP(C179,[1]Sheet1!$A:$D,2,0),"")</f>
        <v>VTV3 HD</v>
      </c>
      <c r="J179" s="2" t="str">
        <f>IFERROR(VLOOKUP(C179,[1]Sheet1!$A:$D,3,0),"")</f>
        <v>rtp://232.84.1.118:10260</v>
      </c>
      <c r="K179" s="2" t="b">
        <f t="shared" si="5"/>
        <v>1</v>
      </c>
    </row>
    <row r="180" spans="1:11" ht="12.75" x14ac:dyDescent="0.2">
      <c r="A180" s="2">
        <v>179</v>
      </c>
      <c r="B180" s="2" t="s">
        <v>645</v>
      </c>
      <c r="C180" s="2">
        <v>378</v>
      </c>
      <c r="D180" s="2" t="s">
        <v>646</v>
      </c>
      <c r="E180" s="2">
        <v>4</v>
      </c>
      <c r="F180" s="2" t="s">
        <v>647</v>
      </c>
      <c r="G180" s="2" t="s">
        <v>646</v>
      </c>
      <c r="H180" s="2" t="str">
        <f>IFERROR(VLOOKUP(C180,[1]Sheet1!$A:$D,4,0),"")</f>
        <v>https://s129144.cdn.mytvnet.vn/vimages/8f/ff/f9/93/31/1c/8ff93-pvtv4hd-channel-unkn.png</v>
      </c>
      <c r="I180" s="2" t="str">
        <f>IFERROR(VLOOKUP(C180,[1]Sheet1!$A:$D,2,0),"")</f>
        <v>VTV4 HD</v>
      </c>
      <c r="J180" s="2" t="str">
        <f>IFERROR(VLOOKUP(C180,[1]Sheet1!$A:$D,3,0),"")</f>
        <v>rtp://232.84.3.106:10600</v>
      </c>
      <c r="K180" s="2" t="b">
        <f t="shared" si="5"/>
        <v>1</v>
      </c>
    </row>
    <row r="181" spans="1:11" ht="12.75" x14ac:dyDescent="0.2">
      <c r="A181" s="2">
        <v>180</v>
      </c>
      <c r="B181" s="2" t="s">
        <v>648</v>
      </c>
      <c r="C181" s="2">
        <v>379</v>
      </c>
      <c r="D181" s="2" t="s">
        <v>649</v>
      </c>
      <c r="E181" s="2">
        <v>5</v>
      </c>
      <c r="F181" s="2" t="s">
        <v>650</v>
      </c>
      <c r="G181" s="2" t="s">
        <v>649</v>
      </c>
      <c r="H181" s="2" t="str">
        <f>IFERROR(VLOOKUP(C181,[1]Sheet1!$A:$D,4,0),"")</f>
        <v>https://s129144.cdn.mytvnet.vn/vimages/03/3c/c0/01/1e/e6/03c01-pvtv5hd-channel-unkn.png</v>
      </c>
      <c r="I181" s="2" t="str">
        <f>IFERROR(VLOOKUP(C181,[1]Sheet1!$A:$D,2,0),"")</f>
        <v>VTV5 HD</v>
      </c>
      <c r="J181" s="2" t="str">
        <f>IFERROR(VLOOKUP(C181,[1]Sheet1!$A:$D,3,0),"")</f>
        <v>rtp://232.84.2.33:10606</v>
      </c>
      <c r="K181" s="2" t="b">
        <f t="shared" si="5"/>
        <v>1</v>
      </c>
    </row>
    <row r="182" spans="1:11" ht="12.75" x14ac:dyDescent="0.2">
      <c r="A182" s="2">
        <v>181</v>
      </c>
      <c r="B182" s="2" t="s">
        <v>651</v>
      </c>
      <c r="C182" s="2">
        <v>615</v>
      </c>
      <c r="D182" s="2" t="s">
        <v>652</v>
      </c>
      <c r="E182" s="2">
        <v>10</v>
      </c>
      <c r="F182" s="2" t="s">
        <v>653</v>
      </c>
      <c r="G182" s="2" t="s">
        <v>654</v>
      </c>
      <c r="H182" s="2" t="str">
        <f>IFERROR(VLOOKUP(C182,[1]Sheet1!$A:$D,4,0),"")</f>
        <v>https://s129144.cdn.mytvnet.vn/vimages/48/82/2d/d6/6d/d8/482d6-pvtv5tynambhd-channel-unkn.png</v>
      </c>
      <c r="I182" s="2" t="str">
        <f>IFERROR(VLOOKUP(C182,[1]Sheet1!$A:$D,2,0),"")</f>
        <v>VTV5 Tây Nam Bộ (HD)</v>
      </c>
      <c r="J182" s="2" t="str">
        <f>IFERROR(VLOOKUP(C182,[1]Sheet1!$A:$D,3,0),"")</f>
        <v>rtp://232.84.3.86:11542</v>
      </c>
      <c r="K182" s="2" t="b">
        <f t="shared" si="5"/>
        <v>1</v>
      </c>
    </row>
    <row r="183" spans="1:11" ht="12.75" x14ac:dyDescent="0.2">
      <c r="A183" s="2">
        <v>182</v>
      </c>
      <c r="B183" s="2" t="s">
        <v>655</v>
      </c>
      <c r="C183" s="2">
        <v>642</v>
      </c>
      <c r="D183" s="2" t="s">
        <v>656</v>
      </c>
      <c r="E183" s="2">
        <v>11</v>
      </c>
      <c r="F183" s="2" t="s">
        <v>657</v>
      </c>
      <c r="G183" s="2" t="s">
        <v>658</v>
      </c>
      <c r="H183" s="2" t="str">
        <f>IFERROR(VLOOKUP(C183,[1]Sheet1!$A:$D,4,0),"")</f>
        <v>https://s129144.cdn.mytvnet.vn/vimages/d4/46/61/1c/cf/f6/d461c-pvtv5tynguynhd-channel-unkn.png</v>
      </c>
      <c r="I183" s="2" t="str">
        <f>IFERROR(VLOOKUP(C183,[1]Sheet1!$A:$D,2,0),"")</f>
        <v>VTV5 Tây Nguyên (HD)</v>
      </c>
      <c r="J183" s="2" t="str">
        <f>IFERROR(VLOOKUP(C183,[1]Sheet1!$A:$D,3,0),"")</f>
        <v>rtp://232.84.3.66:11656</v>
      </c>
      <c r="K183" s="2" t="b">
        <f t="shared" si="5"/>
        <v>1</v>
      </c>
    </row>
    <row r="184" spans="1:11" ht="12.75" x14ac:dyDescent="0.2">
      <c r="A184" s="2">
        <v>183</v>
      </c>
      <c r="B184" s="2" t="s">
        <v>659</v>
      </c>
      <c r="C184" s="2">
        <v>459</v>
      </c>
      <c r="D184" s="2" t="s">
        <v>660</v>
      </c>
      <c r="E184" s="2">
        <v>7</v>
      </c>
      <c r="F184" s="2" t="s">
        <v>661</v>
      </c>
      <c r="G184" s="2" t="s">
        <v>660</v>
      </c>
      <c r="H184" s="2" t="str">
        <f>IFERROR(VLOOKUP(C184,[1]Sheet1!$A:$D,4,0),"")</f>
        <v>https://s129144.cdn.mytvnet.vn/vimages/e5/53/33/33/33/3c/e5333-pvtv7hd-channel-unkn.png</v>
      </c>
      <c r="I184" s="2" t="str">
        <f>IFERROR(VLOOKUP(C184,[1]Sheet1!$A:$D,2,0),"")</f>
        <v>VTV7 HD</v>
      </c>
      <c r="J184" s="2" t="str">
        <f>IFERROR(VLOOKUP(C184,[1]Sheet1!$A:$D,3,0),"")</f>
        <v>rtp://232.84.2.202:10996</v>
      </c>
      <c r="K184" s="2" t="b">
        <f t="shared" si="5"/>
        <v>1</v>
      </c>
    </row>
    <row r="185" spans="1:11" ht="12.75" x14ac:dyDescent="0.2">
      <c r="A185" s="2">
        <v>184</v>
      </c>
      <c r="B185" s="2" t="s">
        <v>662</v>
      </c>
      <c r="C185" s="2">
        <v>380</v>
      </c>
      <c r="D185" s="2" t="s">
        <v>663</v>
      </c>
      <c r="E185" s="2">
        <v>8</v>
      </c>
      <c r="F185" s="2" t="s">
        <v>664</v>
      </c>
      <c r="G185" s="2" t="s">
        <v>663</v>
      </c>
      <c r="H185" s="2" t="str">
        <f>IFERROR(VLOOKUP(C185,[1]Sheet1!$A:$D,4,0),"")</f>
        <v>https://s129144.cdn.mytvnet.vn/vimages/0f/f4/4d/d7/75/51/0f4d7-pvtv8hd-channel-unkn.png</v>
      </c>
      <c r="I185" s="2" t="str">
        <f>IFERROR(VLOOKUP(C185,[1]Sheet1!$A:$D,2,0),"")</f>
        <v>VTV8 HD</v>
      </c>
      <c r="J185" s="2" t="str">
        <f>IFERROR(VLOOKUP(C185,[1]Sheet1!$A:$D,3,0),"")</f>
        <v>rtp://232.84.3.104:10612</v>
      </c>
      <c r="K185" s="2" t="b">
        <f t="shared" si="5"/>
        <v>1</v>
      </c>
    </row>
    <row r="186" spans="1:11" ht="12.75" x14ac:dyDescent="0.2">
      <c r="A186" s="2">
        <v>185</v>
      </c>
      <c r="B186" s="2" t="s">
        <v>665</v>
      </c>
      <c r="C186" s="2">
        <v>381</v>
      </c>
      <c r="D186" s="2" t="s">
        <v>666</v>
      </c>
      <c r="E186" s="2">
        <v>9</v>
      </c>
      <c r="F186" s="2" t="s">
        <v>667</v>
      </c>
      <c r="G186" s="2" t="s">
        <v>666</v>
      </c>
      <c r="H186" s="2" t="str">
        <f>IFERROR(VLOOKUP(C186,[1]Sheet1!$A:$D,4,0),"")</f>
        <v>https://s129144.cdn.mytvnet.vn/vimages/d3/35/5e/e2/26/62/d35e2-pvtv9hd-channel-unkn.png</v>
      </c>
      <c r="I186" s="2" t="str">
        <f>IFERROR(VLOOKUP(C186,[1]Sheet1!$A:$D,2,0),"")</f>
        <v>VTV9 HD</v>
      </c>
      <c r="J186" s="2" t="str">
        <f>IFERROR(VLOOKUP(C186,[1]Sheet1!$A:$D,3,0),"")</f>
        <v>rtp://232.84.2.35:10618</v>
      </c>
      <c r="K186" s="2" t="b">
        <f t="shared" si="5"/>
        <v>1</v>
      </c>
    </row>
    <row r="187" spans="1:11" ht="12.75" x14ac:dyDescent="0.2">
      <c r="A187" s="2">
        <v>186</v>
      </c>
      <c r="B187" s="2" t="s">
        <v>668</v>
      </c>
      <c r="C187" s="2">
        <v>97</v>
      </c>
      <c r="D187" s="2" t="s">
        <v>669</v>
      </c>
      <c r="E187" s="2">
        <v>197</v>
      </c>
      <c r="F187" s="2" t="s">
        <v>670</v>
      </c>
      <c r="G187" s="2" t="s">
        <v>671</v>
      </c>
      <c r="H187" s="2" t="str">
        <f>IFERROR(VLOOKUP(C187,[1]Sheet1!$A:$D,4,0),"")</f>
        <v>https://s129144.cdn.mytvnet.vn/vimages/01/11/10/0a/a8/84/0110a-pvngtuhd-channel-unkn.png</v>
      </c>
      <c r="I187" s="2" t="str">
        <f>IFERROR(VLOOKUP(C187,[1]Sheet1!$A:$D,2,0),"")</f>
        <v>Vũng Tàu HD</v>
      </c>
      <c r="J187" s="2" t="str">
        <f>IFERROR(VLOOKUP(C187,[1]Sheet1!$A:$D,3,0),"")</f>
        <v>rtp://232.84.3.47:11770</v>
      </c>
      <c r="K187" s="2" t="b">
        <f t="shared" si="5"/>
        <v>1</v>
      </c>
    </row>
    <row r="188" spans="1:11" ht="12.75" x14ac:dyDescent="0.2">
      <c r="A188" s="2">
        <v>187</v>
      </c>
      <c r="B188" s="2" t="s">
        <v>672</v>
      </c>
      <c r="C188" s="2">
        <v>597</v>
      </c>
      <c r="D188" s="2" t="s">
        <v>673</v>
      </c>
      <c r="E188" s="2">
        <v>78</v>
      </c>
      <c r="F188" s="2" t="s">
        <v>674</v>
      </c>
      <c r="G188" s="2" t="s">
        <v>675</v>
      </c>
      <c r="H188" s="2" t="str">
        <f>IFERROR(VLOOKUP(C188,[1]Sheet1!$A:$D,4,0),"")</f>
        <v>https://s129144.cdn.mytvnet.vn/vimages/3e/e1/1d/df/f7/7c/3e1df-pwarnerhd-channel-unkn.png</v>
      </c>
      <c r="I188" s="2" t="str">
        <f>IFERROR(VLOOKUP(C188,[1]Sheet1!$A:$D,2,0),"")</f>
        <v>Warner HD</v>
      </c>
      <c r="J188" s="2">
        <f>IFERROR(VLOOKUP(C188,[1]Sheet1!$A:$D,3,0),"")</f>
        <v>0</v>
      </c>
      <c r="K188" s="2" t="b">
        <f t="shared" si="5"/>
        <v>1</v>
      </c>
    </row>
    <row r="189" spans="1:11" ht="12.75" x14ac:dyDescent="0.2">
      <c r="A189" s="2">
        <v>188</v>
      </c>
      <c r="B189" s="2" t="s">
        <v>676</v>
      </c>
      <c r="C189" s="2">
        <v>153</v>
      </c>
      <c r="D189" s="2" t="s">
        <v>677</v>
      </c>
      <c r="E189" s="2">
        <v>198</v>
      </c>
      <c r="F189" s="2" t="s">
        <v>678</v>
      </c>
      <c r="G189" s="2" t="s">
        <v>679</v>
      </c>
      <c r="H189" s="2" t="str">
        <f>IFERROR(VLOOKUP(C189,[1]Sheet1!$A:$D,4,0),"")</f>
        <v>https://s129144.cdn.mytvnet.vn/vimages/8f/fe/e9/97/7d/dd/8fe97-pynbitv-channel-unkn.png</v>
      </c>
      <c r="I189" s="2" t="str">
        <f>IFERROR(VLOOKUP(C189,[1]Sheet1!$A:$D,2,0),"")</f>
        <v>Yên Bái TV</v>
      </c>
      <c r="J189" s="2" t="str">
        <f>IFERROR(VLOOKUP(C189,[1]Sheet1!$A:$D,3,0),"")</f>
        <v>rtp://232.84.3.253:11440</v>
      </c>
      <c r="K189" s="2" t="b">
        <f t="shared" si="5"/>
        <v>1</v>
      </c>
    </row>
  </sheetData>
  <autoFilter ref="A1:K189" xr:uid="{00000000-0009-0000-0000-000000000000}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VHSON</cp:lastModifiedBy>
  <dcterms:created xsi:type="dcterms:W3CDTF">2025-05-18T16:50:39Z</dcterms:created>
  <dcterms:modified xsi:type="dcterms:W3CDTF">2026-08-16T10:11:58Z</dcterms:modified>
</cp:coreProperties>
</file>