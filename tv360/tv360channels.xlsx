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HSON\Desktop\"/>
    </mc:Choice>
  </mc:AlternateContent>
  <xr:revisionPtr revIDLastSave="0" documentId="13_ncr:1_{A3FD70BE-0420-4FEF-B866-88023FCBB67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1" r:id="rId1"/>
    <sheet name="Tham chiế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7" i="1" l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<sst xmlns="http://schemas.openxmlformats.org/spreadsheetml/2006/main" count="2102" uniqueCount="877">
  <si>
    <t>id</t>
  </si>
  <si>
    <t>name</t>
  </si>
  <si>
    <t>slug</t>
  </si>
  <si>
    <t>link</t>
  </si>
  <si>
    <t>channel</t>
  </si>
  <si>
    <t>display-name</t>
  </si>
  <si>
    <t>2</t>
  </si>
  <si>
    <t>VTV1 HD</t>
  </si>
  <si>
    <t>vtv1-hd</t>
  </si>
  <si>
    <t>https://tv360.vn/tv/vtv1-hd?ch=2</t>
  </si>
  <si>
    <t>https://img-zlr1.tv360.vn/image1/2020_09_23/1600822355845/94d27f7043a6_640_360.png</t>
  </si>
  <si>
    <t>20</t>
  </si>
  <si>
    <t>ANTV</t>
  </si>
  <si>
    <t>antv</t>
  </si>
  <si>
    <t>https://tv360.vn/tv/antv?ch=20</t>
  </si>
  <si>
    <t>https://img-zlr1.tv360.vn/image1/2020_09_23/1600822516608/b33963dc0df8_640_360.png</t>
  </si>
  <si>
    <t>19</t>
  </si>
  <si>
    <t>QPVN HD</t>
  </si>
  <si>
    <t>qpvn-hd</t>
  </si>
  <si>
    <t>https://tv360.vn/tv/qpvn-hd?ch=19</t>
  </si>
  <si>
    <t>https://img-zlr1.tv360.vn/image1/2020_09_23/1600822254297/3c150355b7f8_640_360.png</t>
  </si>
  <si>
    <t>110</t>
  </si>
  <si>
    <t>VTV5 HD</t>
  </si>
  <si>
    <t>vtv5-hd</t>
  </si>
  <si>
    <t>https://tv360.vn/tv/vtv5-hd?ch=110</t>
  </si>
  <si>
    <t>https://img-zlr1.tv360.vn/image1/2023/06/15/08/1686794357811/c08ce385651d_640_360.png</t>
  </si>
  <si>
    <t>9951</t>
  </si>
  <si>
    <t>VIETNAM TODAY HD</t>
  </si>
  <si>
    <t>vietnam-today-hd</t>
  </si>
  <si>
    <t>https://tv360.vn/tv/vietnam-today-hd?ch=9951</t>
  </si>
  <si>
    <t>https://img-zlr1.tv360.vn/image1/2025/12/05/09/1764903286193/46f72417f718_640_360.png</t>
  </si>
  <si>
    <t>3</t>
  </si>
  <si>
    <t>VTV2 HD</t>
  </si>
  <si>
    <t>vtv2-hd</t>
  </si>
  <si>
    <t>https://tv360.vn/tv/vtv2-hd?ch=3</t>
  </si>
  <si>
    <t>https://img-zlr1.tv360.vn/image1/2024/12/06/22/1733499750594/3ee337ec7e2b_640_360.png</t>
  </si>
  <si>
    <t>4</t>
  </si>
  <si>
    <t>VTV3 HD</t>
  </si>
  <si>
    <t>vtv3-hd</t>
  </si>
  <si>
    <t>https://tv360.vn/tv/vtv3-hd?ch=4</t>
  </si>
  <si>
    <t>https://img-zlr1.tv360.vn/image1/2024/12/06/22/1733499800775/81ec5a1d4242_640_360.png</t>
  </si>
  <si>
    <t>108</t>
  </si>
  <si>
    <t>VTV4 HD</t>
  </si>
  <si>
    <t>vtv4-hd</t>
  </si>
  <si>
    <t>https://tv360.vn/tv/vtv4-hd?ch=108</t>
  </si>
  <si>
    <t>https://img-zlr1.tv360.vn/image1/2020_09_23/1600822540493/79943158bdd1_640_360.png</t>
  </si>
  <si>
    <t>207</t>
  </si>
  <si>
    <t>VTV5 Tây Nguyên</t>
  </si>
  <si>
    <t>vtv5-tay-nguyen</t>
  </si>
  <si>
    <t>https://tv360.vn/tv/vtv5-tay-nguyen?ch=207</t>
  </si>
  <si>
    <t>https://img-zlr1.tv360.vn/image1/2024/10/07/13/1728284300790/792061a8f346_640_360.png</t>
  </si>
  <si>
    <t>157</t>
  </si>
  <si>
    <t>VTV5 Tây Nam Bộ</t>
  </si>
  <si>
    <t>vtv5-tay-nam-bo</t>
  </si>
  <si>
    <t>https://tv360.vn/tv/vtv5-tay-nam-bo?ch=157</t>
  </si>
  <si>
    <t>https://img-zlr1.tv360.vn/image1/2024/10/07/13/1728284084741/78fe644fb1ff_640_360.png</t>
  </si>
  <si>
    <t>10043</t>
  </si>
  <si>
    <t>VTV6 HD</t>
  </si>
  <si>
    <t>vtv6-hd</t>
  </si>
  <si>
    <t>https://tv360.vn/tv/vtv6-hd?ch=10043</t>
  </si>
  <si>
    <t>https://img-zlr1.tv360.vn/image1/2026/06/08/08/178088041953/212d026a8523_640_360.png</t>
  </si>
  <si>
    <t>6</t>
  </si>
  <si>
    <t>VTV7 HD</t>
  </si>
  <si>
    <t>vtv7-hd</t>
  </si>
  <si>
    <t>https://tv360.vn/tv/vtv7-hd?ch=6</t>
  </si>
  <si>
    <t>https://img-zlr1.tv360.vn/image1/2026/06/11/10/1781148165425/bb8d7ab62fcb_640_360.png</t>
  </si>
  <si>
    <t>115</t>
  </si>
  <si>
    <t>VTV8 HD</t>
  </si>
  <si>
    <t>vtv8-hd</t>
  </si>
  <si>
    <t>https://tv360.vn/tv/vtv8-hd?ch=115</t>
  </si>
  <si>
    <t>https://img-zlr1.tv360.vn/image1/2020_09_21/160069439043/38ef3b4d4000_640_360.png</t>
  </si>
  <si>
    <t>8</t>
  </si>
  <si>
    <t>VTV9 HD</t>
  </si>
  <si>
    <t>vtv9-hd</t>
  </si>
  <si>
    <t>https://tv360.vn/tv/vtv9-hd?ch=8</t>
  </si>
  <si>
    <t>https://img-zlr1.tv360.vn/image1/2026/06/11/10/1781148195485/00d4dbd872e0_640_360.png</t>
  </si>
  <si>
    <t>98</t>
  </si>
  <si>
    <t>VTV10 HD</t>
  </si>
  <si>
    <t>vtv10-hd</t>
  </si>
  <si>
    <t>https://tv360.vn/tv/vtv10-hd?ch=98</t>
  </si>
  <si>
    <t>https://img-zlr1.tv360.vn/image1/2026/03/30/08/1774833030495/4d4313f52c66_640_360.png</t>
  </si>
  <si>
    <t>2554</t>
  </si>
  <si>
    <t>TV360+ 1</t>
  </si>
  <si>
    <t>tv360-1</t>
  </si>
  <si>
    <t>https://tv360.vn/tv/tv360-1?ch=2554</t>
  </si>
  <si>
    <t>https://img-zlr1.tv360.vn/image1/2026/04/15/22/1776266760359/ba1ca843cd06_640_360.png</t>
  </si>
  <si>
    <t>1</t>
  </si>
  <si>
    <t>TV360+ 2</t>
  </si>
  <si>
    <t>tv360-2</t>
  </si>
  <si>
    <t>https://tv360.vn/tv/tv360-2?ch=1</t>
  </si>
  <si>
    <t>https://img-zlr1.tv360.vn/image1/2026/04/15/22/1776266826697/9647033848f3_640_360.png</t>
  </si>
  <si>
    <t>148</t>
  </si>
  <si>
    <t>TV360+ 3</t>
  </si>
  <si>
    <t>tv360-3</t>
  </si>
  <si>
    <t>https://tv360.vn/tv/tv360-3?ch=148</t>
  </si>
  <si>
    <t>https://img-zlr1.tv360.vn/image1/2026/04/15/22/1776266894249/af82cd28fcda_640_360.png</t>
  </si>
  <si>
    <t>2458</t>
  </si>
  <si>
    <t>TV360+ 4</t>
  </si>
  <si>
    <t>tv360-4</t>
  </si>
  <si>
    <t>https://tv360.vn/tv/tv360-4?ch=2458</t>
  </si>
  <si>
    <t>https://img-zlr1.tv360.vn/image1/2026/04/15/22/1776266956801/9a85754a5bd9_640_360.png</t>
  </si>
  <si>
    <t>9867</t>
  </si>
  <si>
    <t>TV360+ 5</t>
  </si>
  <si>
    <t>tv360-5</t>
  </si>
  <si>
    <t>https://tv360.vn/tv/tv360-5?ch=9867</t>
  </si>
  <si>
    <t>https://img-zlr1.tv360.vn/image1/2026/04/15/22/1776267019948/634cdb439c75_640_360.png</t>
  </si>
  <si>
    <t>9868</t>
  </si>
  <si>
    <t>TV360+ 6</t>
  </si>
  <si>
    <t>tv360-6</t>
  </si>
  <si>
    <t>https://tv360.vn/tv/tv360-6?ch=9868</t>
  </si>
  <si>
    <t>https://img-zlr1.tv360.vn/image1/2026/04/15/22/1776267080314/d06a99b5bd9c_640_360.png</t>
  </si>
  <si>
    <t>9869</t>
  </si>
  <si>
    <t>TV360+ 7</t>
  </si>
  <si>
    <t>tv360-7</t>
  </si>
  <si>
    <t>https://tv360.vn/tv/tv360-7?ch=9869</t>
  </si>
  <si>
    <t>https://img-zlr1.tv360.vn/image1/2026/04/15/22/177626714329/4631db40bb03_640_360.png</t>
  </si>
  <si>
    <t>9870</t>
  </si>
  <si>
    <t>TV360+ 8</t>
  </si>
  <si>
    <t>tv360-8</t>
  </si>
  <si>
    <t>https://tv360.vn/tv/tv360-8?ch=9870</t>
  </si>
  <si>
    <t>https://img-zlr1.tv360.vn/image1/2026/04/15/22/1776267211780/516c4028c806_640_360.png</t>
  </si>
  <si>
    <t>9887</t>
  </si>
  <si>
    <t>TV360+ 9</t>
  </si>
  <si>
    <t>tv360-9</t>
  </si>
  <si>
    <t>https://tv360.vn/tv/tv360-9?ch=9887</t>
  </si>
  <si>
    <t>https://img-zlr1.tv360.vn/image1/2026/04/15/22/1776267283364/c30a206da84a_640_360.png</t>
  </si>
  <si>
    <t>9957</t>
  </si>
  <si>
    <t>TV360+ 10</t>
  </si>
  <si>
    <t>tv360-10</t>
  </si>
  <si>
    <t>https://tv360.vn/tv/tv360-10?ch=9957</t>
  </si>
  <si>
    <t>https://img-zlr1.tv360.vn/image1/2026/04/15/22/1776267388401/5f459b37721d_640_360.png</t>
  </si>
  <si>
    <t>9958</t>
  </si>
  <si>
    <t>TV360+ 11</t>
  </si>
  <si>
    <t>tv360-11</t>
  </si>
  <si>
    <t>https://tv360.vn/tv/tv360-11?ch=9958</t>
  </si>
  <si>
    <t>https://img-zlr1.tv360.vn/image1/2026/04/15/22/1776267558745/5fc303f5ba08_640_360.png</t>
  </si>
  <si>
    <t>10001</t>
  </si>
  <si>
    <t>TV360+ 12</t>
  </si>
  <si>
    <t>tv360-12</t>
  </si>
  <si>
    <t>https://tv360.vn/tv/tv360-12?ch=10001</t>
  </si>
  <si>
    <t>https://img-zlr1.tv360.vn/image1/2026/04/15/22/1776267662370/76b4144bff34_640_360.png</t>
  </si>
  <si>
    <t>10022</t>
  </si>
  <si>
    <t>TV360+ 13</t>
  </si>
  <si>
    <t>tv360-13</t>
  </si>
  <si>
    <t>https://tv360.vn/tv/tv360-13?ch=10022</t>
  </si>
  <si>
    <t>https://img-zlr1.tv360.vn/image1/2026/05/15/01/1778782670293/dd4067f28084_640_360.png</t>
  </si>
  <si>
    <t>10023</t>
  </si>
  <si>
    <t>TV360+ 14</t>
  </si>
  <si>
    <t>tv360-14</t>
  </si>
  <si>
    <t>https://tv360.vn/tv/tv360-14?ch=10023</t>
  </si>
  <si>
    <t>https://img-zlr1.tv360.vn/image1/2026/05/15/01/177878325467/bbecb3ccb477_640_360.png</t>
  </si>
  <si>
    <t>10024</t>
  </si>
  <si>
    <t>TV360+ 15</t>
  </si>
  <si>
    <t>tv360-15</t>
  </si>
  <si>
    <t>https://tv360.vn/tv/tv360-15?ch=10024</t>
  </si>
  <si>
    <t>https://img-zlr1.tv360.vn/image1/2026/05/15/01/1778783528367/ddfa21d56253_640_360.png</t>
  </si>
  <si>
    <t>10049</t>
  </si>
  <si>
    <t>TV360+ 16</t>
  </si>
  <si>
    <t>tv360-16</t>
  </si>
  <si>
    <t>https://tv360.vn/tv/tv360-16?ch=10049</t>
  </si>
  <si>
    <t>https://img-zlr1.tv360.vn/image1/2026/07/07/17/178341886042/8212b6f0ea56_640_360.png</t>
  </si>
  <si>
    <t>9904</t>
  </si>
  <si>
    <t>TV360</t>
  </si>
  <si>
    <t>tv360</t>
  </si>
  <si>
    <t>https://tv360.vn/tv/tv360?ch=9904</t>
  </si>
  <si>
    <t>https://img-zlr1.tv360.vn/image1/2025/09/17/17/175810574912/a5f8181388ab_640_360.png</t>
  </si>
  <si>
    <t>9902</t>
  </si>
  <si>
    <t>Phim Việt</t>
  </si>
  <si>
    <t>phim-viet</t>
  </si>
  <si>
    <t>https://tv360.vn/tv/phim-viet?ch=9902</t>
  </si>
  <si>
    <t>https://img-zlr1.tv360.vn/image1/2026/04/07/15/1775549899305/f54a93a767c5_640_360.png</t>
  </si>
  <si>
    <t>9903</t>
  </si>
  <si>
    <t>Phim Âu Mỹ</t>
  </si>
  <si>
    <t>phim-au-my</t>
  </si>
  <si>
    <t>https://tv360.vn/tv/phim-au-my?ch=9903</t>
  </si>
  <si>
    <t>https://img-zlr1.tv360.vn/image1/2026/04/09/08/1775697767861/9a6dc88794cf_640_360.png</t>
  </si>
  <si>
    <t>9934</t>
  </si>
  <si>
    <t>Hoạt hình</t>
  </si>
  <si>
    <t>hoat-hinh</t>
  </si>
  <si>
    <t>https://tv360.vn/tv/hoat-hinh?ch=9934</t>
  </si>
  <si>
    <t>https://img-zlr1.tv360.vn/image1/2026/08/03/16/178574886930/9daa0ca42fd8_640_360.png</t>
  </si>
  <si>
    <t>10008</t>
  </si>
  <si>
    <t>360 Hoa Ngữ</t>
  </si>
  <si>
    <t>360-hoa-ngu</t>
  </si>
  <si>
    <t>https://tv360.vn/tv/360-hoa-ngu?ch=10008</t>
  </si>
  <si>
    <t>https://img-zlr1.tv360.vn/image1/2026/04/09/08/1775697736867/3854900b7263_640_360.png</t>
  </si>
  <si>
    <t>10009</t>
  </si>
  <si>
    <t>360 Hành động Châu Á</t>
  </si>
  <si>
    <t>360-hanh-dong-chau-a</t>
  </si>
  <si>
    <t>https://tv360.vn/tv/360-hanh-dong-chau-a?ch=10009</t>
  </si>
  <si>
    <t>https://img-zlr1.tv360.vn/image1/2026/04/08/10/1775617851169/1f38a5af77c1_640_360.png</t>
  </si>
  <si>
    <t>10010</t>
  </si>
  <si>
    <t>360 K-Drama</t>
  </si>
  <si>
    <t>360-k-drama</t>
  </si>
  <si>
    <t>https://tv360.vn/tv/360-k-drama?ch=10010</t>
  </si>
  <si>
    <t>https://img-zlr1.tv360.vn/image1/2026/04/09/21/1775744591740/79928f9b003f_640_360.png</t>
  </si>
  <si>
    <t>10011</t>
  </si>
  <si>
    <t>360 Hài -Tình cảm</t>
  </si>
  <si>
    <t>360-hai-tinh-cam</t>
  </si>
  <si>
    <t>https://tv360.vn/tv/360-hai-tinh-cam?ch=10011</t>
  </si>
  <si>
    <t>https://img-zlr1.tv360.vn/image1/2026/04/13/13/1776063183880/03439dc9da19_640_360.png</t>
  </si>
  <si>
    <t>10012</t>
  </si>
  <si>
    <t>360 Phim Kinh điển</t>
  </si>
  <si>
    <t>360-phim-kinh-dien</t>
  </si>
  <si>
    <t>https://tv360.vn/tv/360-phim-kinh-dien?ch=10012</t>
  </si>
  <si>
    <t>https://img-zlr1.tv360.vn/image1/2026/04/13/13/1776063200976/6ced2ef539a4_640_360.png</t>
  </si>
  <si>
    <t>10013</t>
  </si>
  <si>
    <t>360 Anime</t>
  </si>
  <si>
    <t>360-anime</t>
  </si>
  <si>
    <t>https://tv360.vn/tv/360-anime?ch=10013</t>
  </si>
  <si>
    <t>https://img-zlr1.tv360.vn/image1/2026/04/13/13/1776063223569/462daff06d9d_640_360.png</t>
  </si>
  <si>
    <t>10045</t>
  </si>
  <si>
    <t>360 Thiếu Nhi</t>
  </si>
  <si>
    <t>360-thieu-nhi</t>
  </si>
  <si>
    <t>https://tv360.vn/tv/360-thieu-nhi?ch=10045</t>
  </si>
  <si>
    <t>https://img-zlr1.tv360.vn/image1/2026/06/18/13/1781765362332/737c1501b0c5_640_360.png</t>
  </si>
  <si>
    <t>10055</t>
  </si>
  <si>
    <t>360 Phim 4K</t>
  </si>
  <si>
    <t>360-phim-4k</t>
  </si>
  <si>
    <t>https://tv360.vn/tv/360-phim-4k?ch=10055</t>
  </si>
  <si>
    <t>https://img-zlr1.tv360.vn/image1/2026/07/30/10/1785382803894/362700e9107b_640_360.png</t>
  </si>
  <si>
    <t>10014</t>
  </si>
  <si>
    <t>360 C1 Châu Âu</t>
  </si>
  <si>
    <t>360-c1-chau-au</t>
  </si>
  <si>
    <t>https://tv360.vn/tv/360-c1-chau-au?ch=10014</t>
  </si>
  <si>
    <t>https://img-zlr1.tv360.vn/image1/2026/04/15/22/177626841934/e289a43bd190_640_360.png</t>
  </si>
  <si>
    <t>10015</t>
  </si>
  <si>
    <t>360 C2 Châu Âu</t>
  </si>
  <si>
    <t>360-c2-chau-au</t>
  </si>
  <si>
    <t>https://tv360.vn/tv/360-c2-chau-au?ch=10015</t>
  </si>
  <si>
    <t>https://img-zlr1.tv360.vn/image1/2026/04/15/23/1776269925378/3875f76de1cd_640_360.png</t>
  </si>
  <si>
    <t>10016</t>
  </si>
  <si>
    <t>360 C3 Châu Âu</t>
  </si>
  <si>
    <t>360-c3-chau-au</t>
  </si>
  <si>
    <t>https://tv360.vn/tv/360-c3-chau-au?ch=10016</t>
  </si>
  <si>
    <t>https://img-zlr1.tv360.vn/image1/2026/04/15/23/1776269965595/9f150757c9e3_640_360.png</t>
  </si>
  <si>
    <t>10017</t>
  </si>
  <si>
    <t>360 Thể Thao Châu Á</t>
  </si>
  <si>
    <t>360-the-thao-chau-a</t>
  </si>
  <si>
    <t>https://tv360.vn/tv/360-the-thao-chau-a?ch=10017</t>
  </si>
  <si>
    <t>https://img-zlr1.tv360.vn/image1/2026/04/16/00/1776274695415/4b2703dbb4c4_640_360.png</t>
  </si>
  <si>
    <t>10018</t>
  </si>
  <si>
    <t>360 Công Thức 1</t>
  </si>
  <si>
    <t>360-cong-thuc-1</t>
  </si>
  <si>
    <t>https://tv360.vn/tv/360-cong-thuc-1?ch=10018</t>
  </si>
  <si>
    <t>https://img-zlr1.tv360.vn/image1/2026/04/15/23/1776269172914/ceaa765c5dbe_640_360.png</t>
  </si>
  <si>
    <t>10019</t>
  </si>
  <si>
    <t>360 Bundesliga</t>
  </si>
  <si>
    <t>360-bundesliga</t>
  </si>
  <si>
    <t>https://tv360.vn/tv/360-bundesliga?ch=10019</t>
  </si>
  <si>
    <t>https://img-zlr1.tv360.vn/image1/2026/04/16/08/1776301510855/e14eaed5c4d8_640_360.png</t>
  </si>
  <si>
    <t>10020</t>
  </si>
  <si>
    <t>360 Golf</t>
  </si>
  <si>
    <t>360-golf</t>
  </si>
  <si>
    <t>https://tv360.vn/tv/360-golf?ch=10020</t>
  </si>
  <si>
    <t>https://img-zlr1.tv360.vn/image1/2026/04/16/14/1776326073777/e6e315b781fb_640_360.png</t>
  </si>
  <si>
    <t>10021</t>
  </si>
  <si>
    <t>360 Tennis</t>
  </si>
  <si>
    <t>360-tennis</t>
  </si>
  <si>
    <t>https://tv360.vn/tv/360-tennis?ch=10021</t>
  </si>
  <si>
    <t>https://img-zlr1.tv360.vn/image1/2026/04/16/15/177632805669/a8c9881d6b08_640_360.png</t>
  </si>
  <si>
    <t>271</t>
  </si>
  <si>
    <t>HBO</t>
  </si>
  <si>
    <t>hbo</t>
  </si>
  <si>
    <t>https://tv360.vn/tv/hbo?ch=271</t>
  </si>
  <si>
    <t>https://img-zlr1.tv360.vn/image1/2021/10/04/02/163329112517/6cb3ef1d12de_640_360.png</t>
  </si>
  <si>
    <t>239</t>
  </si>
  <si>
    <t>Cinemax</t>
  </si>
  <si>
    <t>cinemax</t>
  </si>
  <si>
    <t>https://tv360.vn/tv/cinemax?ch=239</t>
  </si>
  <si>
    <t>https://img-zlr1.tv360.vn/image1/2025/12/30/23/1767113557980/0de97d4682ea_640_360.png</t>
  </si>
  <si>
    <t>273</t>
  </si>
  <si>
    <t>Warner TV</t>
  </si>
  <si>
    <t>warner-tv</t>
  </si>
  <si>
    <t>https://tv360.vn/tv/warner-tv?ch=273</t>
  </si>
  <si>
    <t>https://img-zlr1.tv360.vn/image1/2021/09/30/17/1632996783674/68825acc06f6_640_360.png</t>
  </si>
  <si>
    <t>281</t>
  </si>
  <si>
    <t>AXN</t>
  </si>
  <si>
    <t>axn</t>
  </si>
  <si>
    <t>https://tv360.vn/tv/axn?ch=281</t>
  </si>
  <si>
    <t>https://img-zlr1.tv360.vn/image1/2021/09/30/21/1633012168716/95bc496176f2_640_360.png</t>
  </si>
  <si>
    <t>159</t>
  </si>
  <si>
    <t>Cinema World</t>
  </si>
  <si>
    <t>cinema-world</t>
  </si>
  <si>
    <t>https://tv360.vn/tv/cinema-world?ch=159</t>
  </si>
  <si>
    <t>https://img-zlr1.tv360.vn/image1/2025/12/31/00/1767114171189/011dc2ee60d6_640_360.png</t>
  </si>
  <si>
    <t>235</t>
  </si>
  <si>
    <t>DreamWorks</t>
  </si>
  <si>
    <t>dreamworks</t>
  </si>
  <si>
    <t>https://tv360.vn/tv/dreamworks?ch=235</t>
  </si>
  <si>
    <t>https://img-zlr1.tv360.vn/image1/2025/12/31/00/1767114503767/16fabdd762a9_640_360.png</t>
  </si>
  <si>
    <t>277</t>
  </si>
  <si>
    <t>Cartoon</t>
  </si>
  <si>
    <t>cartoon</t>
  </si>
  <si>
    <t>https://tv360.vn/tv/cartoon?ch=277</t>
  </si>
  <si>
    <t>https://img-zlr1.tv360.vn/image1/2021/09/30/17/16329991075/0c76e4e7e984_640_360.png</t>
  </si>
  <si>
    <t>163</t>
  </si>
  <si>
    <t>FashionTV</t>
  </si>
  <si>
    <t>fashiontv</t>
  </si>
  <si>
    <t>https://tv360.vn/tv/fashiontv?ch=163</t>
  </si>
  <si>
    <t>https://img-zlr1.tv360.vn/image1/2025/12/31/00/1767114669220/2a4f94f276e2_640_360.png</t>
  </si>
  <si>
    <t>237</t>
  </si>
  <si>
    <t>Bloomberg</t>
  </si>
  <si>
    <t>bloomberg</t>
  </si>
  <si>
    <t>https://tv360.vn/tv/bloomberg?ch=237</t>
  </si>
  <si>
    <t>https://img-zlr1.tv360.vn/image1/2025/12/31/00/1767115195629/60e0ef5853e1_640_360.png</t>
  </si>
  <si>
    <t>279</t>
  </si>
  <si>
    <t>Discovery Channel</t>
  </si>
  <si>
    <t>discovery-channel</t>
  </si>
  <si>
    <t>https://tv360.vn/tv/discovery-channel?ch=279</t>
  </si>
  <si>
    <t>https://img-zlr1.tv360.vn/image1/2021/09/30/17/1632999438220/cb5b2ef01b69_640_360.png</t>
  </si>
  <si>
    <t>275</t>
  </si>
  <si>
    <t>CNN</t>
  </si>
  <si>
    <t>cnn</t>
  </si>
  <si>
    <t>https://tv360.vn/tv/cnn?ch=275</t>
  </si>
  <si>
    <t>https://img-zlr1.tv360.vn/image1/2021/10/01/08/1633052531161/ccb61db3f667_640_360.png</t>
  </si>
  <si>
    <t>283</t>
  </si>
  <si>
    <t>ABC Australia</t>
  </si>
  <si>
    <t>abc-australia</t>
  </si>
  <si>
    <t>https://tv360.vn/tv/abc-australia?ch=283</t>
  </si>
  <si>
    <t>https://img-zlr1.tv360.vn/image1/2021/09/30/21/1633012334655/9f82fec7aa58_640_360.png</t>
  </si>
  <si>
    <t>216</t>
  </si>
  <si>
    <t>Outdoor HD</t>
  </si>
  <si>
    <t>outdoor-hd</t>
  </si>
  <si>
    <t>https://tv360.vn/tv/outdoor-hd?ch=216</t>
  </si>
  <si>
    <t>https://img-zlr1.tv360.vn/image1/2020/11/12/10/1605151414697/e4570232b05d_640_360.png</t>
  </si>
  <si>
    <t>112</t>
  </si>
  <si>
    <t>Channel News Asia</t>
  </si>
  <si>
    <t>channel-news-asia</t>
  </si>
  <si>
    <t>https://tv360.vn/tv/channel-news-asia?ch=112</t>
  </si>
  <si>
    <t>https://img-zlr1.tv360.vn/image1/2024/09/30/22/172770964477/d5bbdfff9927_640_360.png</t>
  </si>
  <si>
    <t>215</t>
  </si>
  <si>
    <t>AFN HD</t>
  </si>
  <si>
    <t>afn-hd</t>
  </si>
  <si>
    <t>https://tv360.vn/tv/afn-hd?ch=215</t>
  </si>
  <si>
    <t>https://img-zlr1.tv360.vn/image1/2020_09_23/1600822480473/e6bb9f277480_640_360.png</t>
  </si>
  <si>
    <t>99</t>
  </si>
  <si>
    <t>HGTV</t>
  </si>
  <si>
    <t>hgtv</t>
  </si>
  <si>
    <t>https://tv360.vn/tv/hgtv?ch=99</t>
  </si>
  <si>
    <t>https://img-zlr1.tv360.vn/image1/2020_09_23/1600822040158/9eca53663279_640_360.png</t>
  </si>
  <si>
    <t>213</t>
  </si>
  <si>
    <t>KBS World</t>
  </si>
  <si>
    <t>kbs-world</t>
  </si>
  <si>
    <t>https://tv360.vn/tv/kbs-world?ch=213</t>
  </si>
  <si>
    <t>https://img-zlr1.tv360.vn/image1/2020_09_23/1600823332611/f8ac56be52c6_640_360.png</t>
  </si>
  <si>
    <t>109</t>
  </si>
  <si>
    <t>DW</t>
  </si>
  <si>
    <t>dw</t>
  </si>
  <si>
    <t>https://tv360.vn/tv/dw?ch=109</t>
  </si>
  <si>
    <t>https://img-zlr1.tv360.vn/image1/2022/05/10/15/1652170991466/3334568ab702_640_360.png</t>
  </si>
  <si>
    <t>106</t>
  </si>
  <si>
    <t>NHK</t>
  </si>
  <si>
    <t>nhk</t>
  </si>
  <si>
    <t>https://tv360.vn/tv/nhk?ch=106</t>
  </si>
  <si>
    <t>https://img-zlr1.tv360.vn/image1/2020_09_23/1600823240223/dc739d55a0f5_640_360.png</t>
  </si>
  <si>
    <t>96</t>
  </si>
  <si>
    <t>France 24</t>
  </si>
  <si>
    <t>france-24</t>
  </si>
  <si>
    <t>https://tv360.vn/tv/france-24?ch=96</t>
  </si>
  <si>
    <t>https://img-zlr1.tv360.vn/image1/2020_09_23/160082328472/0da91b00311f_640_360.png</t>
  </si>
  <si>
    <t>9852</t>
  </si>
  <si>
    <t>TV5</t>
  </si>
  <si>
    <t>tv5</t>
  </si>
  <si>
    <t>https://tv360.vn/tv/tv5?ch=9852</t>
  </si>
  <si>
    <t>https://img-zlr1.tv360.vn/image1/2024/05/03/23/1714753734110/8e356cdac7e9_640_360.png</t>
  </si>
  <si>
    <t>9855</t>
  </si>
  <si>
    <t>CNBC</t>
  </si>
  <si>
    <t>cnbc</t>
  </si>
  <si>
    <t>https://tv360.vn/tv/cnbc?ch=9855</t>
  </si>
  <si>
    <t>https://img-zlr1.tv360.vn/image1/2026/03/29/23/1774802901669/9a839f2886f1_640_360.png</t>
  </si>
  <si>
    <t>9856</t>
  </si>
  <si>
    <t>History HD</t>
  </si>
  <si>
    <t>history-hd</t>
  </si>
  <si>
    <t>https://tv360.vn/tv/history-hd?ch=9856</t>
  </si>
  <si>
    <t>https://img-zlr1.tv360.vn/image1/2026/04/20/14/177667111674/a2a11d8f4a75_640_360.png</t>
  </si>
  <si>
    <t>9901</t>
  </si>
  <si>
    <t>Kix</t>
  </si>
  <si>
    <t>kix</t>
  </si>
  <si>
    <t>https://tv360.vn/tv/kix?ch=9901</t>
  </si>
  <si>
    <t>https://img-zlr1.tv360.vn/image1/2025/01/24/22/1737733016558/b6a8f1955817_640_360.png</t>
  </si>
  <si>
    <t>10007</t>
  </si>
  <si>
    <t>France 24 SD</t>
  </si>
  <si>
    <t>france-24-sd</t>
  </si>
  <si>
    <t>https://tv360.vn/tv/france-24-sd?ch=10007</t>
  </si>
  <si>
    <t>https://img-zlr1.tv360.vn/image1/2026/04/07/23/1775577775404/09de37d2a0ee_640_360.png</t>
  </si>
  <si>
    <t>111</t>
  </si>
  <si>
    <t>Arirang</t>
  </si>
  <si>
    <t>arirang</t>
  </si>
  <si>
    <t>https://tv360.vn/tv/arirang?ch=111</t>
  </si>
  <si>
    <t>https://img-zlr1.tv360.vn/image1/2020_09_23/1600823492603/d4586db1b09a_640_360.png</t>
  </si>
  <si>
    <t>214</t>
  </si>
  <si>
    <t>DaVinci HD</t>
  </si>
  <si>
    <t>davinci-hd</t>
  </si>
  <si>
    <t>https://tv360.vn/tv/davinci-hd?ch=214</t>
  </si>
  <si>
    <t>https://img-zlr1.tv360.vn/image1/2026/04/20/14/1776671050490/04b840309da4_640_360.png</t>
  </si>
  <si>
    <t>25</t>
  </si>
  <si>
    <t>Vĩnh Long 1</t>
  </si>
  <si>
    <t>vinh-long-1</t>
  </si>
  <si>
    <t>https://tv360.vn/tv/vinh-long-1?ch=25</t>
  </si>
  <si>
    <t>https://img-zlr1.tv360.vn/image1/2024/10/07/17/1728296900530/38c6e7b9cb86_640_360.png</t>
  </si>
  <si>
    <t>26</t>
  </si>
  <si>
    <t>Vĩnh Long 2</t>
  </si>
  <si>
    <t>vinh-long-2</t>
  </si>
  <si>
    <t>https://tv360.vn/tv/vinh-long-2?ch=26</t>
  </si>
  <si>
    <t>https://img-zlr1.tv360.vn/image1/2024/10/07/16/1728294117402/52d6fd6199a5_640_360.png</t>
  </si>
  <si>
    <t>219</t>
  </si>
  <si>
    <t>Vĩnh Long 3</t>
  </si>
  <si>
    <t>vinh-long-3</t>
  </si>
  <si>
    <t>https://tv360.vn/tv/vinh-long-3?ch=219</t>
  </si>
  <si>
    <t>https://img-zlr1.tv360.vn/image1/2025/04/17/22/1744905347918/48d1f6b96d4b_640_360.png</t>
  </si>
  <si>
    <t>220</t>
  </si>
  <si>
    <t>Vĩnh Long 4</t>
  </si>
  <si>
    <t>vinh-long-4</t>
  </si>
  <si>
    <t>https://tv360.vn/tv/vinh-long-4?ch=220</t>
  </si>
  <si>
    <t>https://img-zlr1.tv360.vn/image1/2024/10/07/16/1728294229199/5f70465aa342_640_360.png</t>
  </si>
  <si>
    <t>91</t>
  </si>
  <si>
    <t>Vĩnh Long 5</t>
  </si>
  <si>
    <t>vinh-long-5</t>
  </si>
  <si>
    <t>https://tv360.vn/tv/vinh-long-5?ch=91</t>
  </si>
  <si>
    <t>https://img-zlr1.tv360.vn/image1/2025/09/26/10/1758857744376/434dd0684f49_640_360.png</t>
  </si>
  <si>
    <t>190</t>
  </si>
  <si>
    <t>HTV1</t>
  </si>
  <si>
    <t>htv1</t>
  </si>
  <si>
    <t>https://tv360.vn/tv/htv1?ch=190</t>
  </si>
  <si>
    <t>https://img-zlr1.tv360.vn/image1/2020_09_23/1600823417472/075a37be16f6_640_360.png</t>
  </si>
  <si>
    <t>191</t>
  </si>
  <si>
    <t>HTV2</t>
  </si>
  <si>
    <t>htv2</t>
  </si>
  <si>
    <t>https://tv360.vn/tv/htv2?ch=191</t>
  </si>
  <si>
    <t>https://img-zlr1.tv360.vn/image1/2020_09_23/1600823424622/fd4c849487f6_640_360.png</t>
  </si>
  <si>
    <t>192</t>
  </si>
  <si>
    <t>HTV3</t>
  </si>
  <si>
    <t>htv3</t>
  </si>
  <si>
    <t>https://tv360.vn/tv/htv3?ch=192</t>
  </si>
  <si>
    <t>https://img-zlr1.tv360.vn/image1/2020_09_23/1600823498725/2e64140da5c1_640_360.png</t>
  </si>
  <si>
    <t>9</t>
  </si>
  <si>
    <t>HTV4</t>
  </si>
  <si>
    <t>htv4</t>
  </si>
  <si>
    <t>https://tv360.vn/tv/htv4?ch=9</t>
  </si>
  <si>
    <t>https://img-zlr1.tv360.vn/image1/2026/04/20/15/1776673483732/71e6c03ac958_640_360.png</t>
  </si>
  <si>
    <t>193</t>
  </si>
  <si>
    <t>HTV7 HD</t>
  </si>
  <si>
    <t>htv7-hd</t>
  </si>
  <si>
    <t>https://tv360.vn/tv/htv7-hd?ch=193</t>
  </si>
  <si>
    <t>https://img-zlr1.tv360.vn/image1/2020_09_23/1600822381421/47d2615f6141_640_360.png</t>
  </si>
  <si>
    <t>194</t>
  </si>
  <si>
    <t>HTV9 HD</t>
  </si>
  <si>
    <t>htv9-hd</t>
  </si>
  <si>
    <t>https://tv360.vn/tv/htv9-hd?ch=194</t>
  </si>
  <si>
    <t>https://img-zlr1.tv360.vn/image1/2020_09_23/1600822390705/a9fc59138d3b_640_360.png</t>
  </si>
  <si>
    <t>195</t>
  </si>
  <si>
    <t>HTV Thể Thao</t>
  </si>
  <si>
    <t>htv-the-thao</t>
  </si>
  <si>
    <t>https://tv360.vn/tv/htv-the-thao?ch=195</t>
  </si>
  <si>
    <t>https://img-zlr1.tv360.vn/image1/2023/04/03/16/1680514594557/ab2557f0b015_640_360.png</t>
  </si>
  <si>
    <t>11</t>
  </si>
  <si>
    <t>HTVC gia đình</t>
  </si>
  <si>
    <t>htvc-gia-dinh</t>
  </si>
  <si>
    <t>https://tv360.vn/tv/htvc-gia-dinh?ch=11</t>
  </si>
  <si>
    <t>https://img-zlr1.tv360.vn/image1/2020_09_23/160082347056/e8ce9503d96a_640_360.png</t>
  </si>
  <si>
    <t>12</t>
  </si>
  <si>
    <t>HTVC phụ Nữ</t>
  </si>
  <si>
    <t>htvc-phu-nu</t>
  </si>
  <si>
    <t>https://tv360.vn/tv/htvc-phu-nu?ch=12</t>
  </si>
  <si>
    <t>https://img-zlr1.tv360.vn/image1/2020_09_23/1600823432136/86f5cc6afcf6_640_360.png</t>
  </si>
  <si>
    <t>13</t>
  </si>
  <si>
    <t>HTVC thuần việt</t>
  </si>
  <si>
    <t>htvc-thuan-viet</t>
  </si>
  <si>
    <t>https://tv360.vn/tv/htvc-thuan-viet?ch=13</t>
  </si>
  <si>
    <t>https://img-zlr1.tv360.vn/image1/2020_09_23/160082344024/e0032bc647da_640_360.png</t>
  </si>
  <si>
    <t>15</t>
  </si>
  <si>
    <t>HTVC phim truyện HD</t>
  </si>
  <si>
    <t>htvc-phim-truyen-hd</t>
  </si>
  <si>
    <t>https://tv360.vn/tv/htvc-phim-truyen-hd?ch=15</t>
  </si>
  <si>
    <t>https://img-zlr1.tv360.vn/image1/2021/07/01/15/1625129239161/48401c7a9ce3_640_360.png</t>
  </si>
  <si>
    <t>14</t>
  </si>
  <si>
    <t>HTVC ca nhạc</t>
  </si>
  <si>
    <t>htvc-ca-nhac</t>
  </si>
  <si>
    <t>https://tv360.vn/tv/htvc-ca-nhac?ch=14</t>
  </si>
  <si>
    <t>https://img-zlr1.tv360.vn/image1/2020_09_23/1600823449894/0834e6a36f71_640_360.png</t>
  </si>
  <si>
    <t>132</t>
  </si>
  <si>
    <t>HTVC+ Channel B</t>
  </si>
  <si>
    <t>htvc</t>
  </si>
  <si>
    <t>https://tv360.vn/tv/htvc?ch=132</t>
  </si>
  <si>
    <t>https://img-zlr1.tv360.vn/image1/2020/12/25/10/160886616399/c002b68d052e_640_360.png</t>
  </si>
  <si>
    <t>133</t>
  </si>
  <si>
    <t>HTVC du lịch &amp; cuộc sống</t>
  </si>
  <si>
    <t>htvc-du-lich-cuoc-song</t>
  </si>
  <si>
    <t>https://tv360.vn/tv/htvc-du-lich-cuoc-song?ch=133</t>
  </si>
  <si>
    <t>https://img-zlr1.tv360.vn/image1/2020/12/25/08/1608860643587/bb01290ccde1_640_360.png</t>
  </si>
  <si>
    <t>151</t>
  </si>
  <si>
    <t>An Viên HD</t>
  </si>
  <si>
    <t>an-vien-hd</t>
  </si>
  <si>
    <t>https://tv360.vn/tv/an-vien-hd?ch=151</t>
  </si>
  <si>
    <t>https://img-zlr1.tv360.vn/image1/2026/04/19/17/1776592892204/faf411a67b05_640_360.png</t>
  </si>
  <si>
    <t>9905</t>
  </si>
  <si>
    <t>FM90</t>
  </si>
  <si>
    <t>fm90</t>
  </si>
  <si>
    <t>https://tv360.vn/tv/fm90?ch=9905</t>
  </si>
  <si>
    <t>https://img-zlr1.tv360.vn/image1/2025/03/04/21/1741100167336/f3e6790b51c7_640_360.png</t>
  </si>
  <si>
    <t>9906</t>
  </si>
  <si>
    <t>FM96</t>
  </si>
  <si>
    <t>fm96</t>
  </si>
  <si>
    <t>https://tv360.vn/tv/fm96?ch=9906</t>
  </si>
  <si>
    <t>https://img-zlr1.tv360.vn/image1/2025/03/04/21/1741100081578/f16fac473216_640_360.png</t>
  </si>
  <si>
    <t>10036</t>
  </si>
  <si>
    <t>VOH AM610</t>
  </si>
  <si>
    <t>voh-am610</t>
  </si>
  <si>
    <t>https://tv360.vn/tv/voh-am610?ch=10036</t>
  </si>
  <si>
    <t>https://img-zlr1.tv360.vn/image1/2026/05/25/08/1779673099710/c321a9c85d33_640_360.png</t>
  </si>
  <si>
    <t>10037</t>
  </si>
  <si>
    <t>VOH FM99</t>
  </si>
  <si>
    <t>voh-fm99</t>
  </si>
  <si>
    <t>https://tv360.vn/tv/voh-fm99?ch=10037</t>
  </si>
  <si>
    <t>https://img-zlr1.tv360.vn/image1/2026/05/25/08/1779673413230/6095d75f830a_640_360.png</t>
  </si>
  <si>
    <t>10038</t>
  </si>
  <si>
    <t>VOH FM87</t>
  </si>
  <si>
    <t>voh-fm87</t>
  </si>
  <si>
    <t>https://tv360.vn/tv/voh-fm87?ch=10038</t>
  </si>
  <si>
    <t>https://img-zlr1.tv360.vn/image1/2026/05/25/08/1779673834679/564a27e6f7b6_640_360.png</t>
  </si>
  <si>
    <t>10039</t>
  </si>
  <si>
    <t>VOH FM95</t>
  </si>
  <si>
    <t>voh-fm95</t>
  </si>
  <si>
    <t>https://tv360.vn/tv/voh-fm95?ch=10039</t>
  </si>
  <si>
    <t>https://img-zlr1.tv360.vn/image1/2026/05/25/08/1779674089161/8e51d80307bf_640_360.png</t>
  </si>
  <si>
    <t>10040</t>
  </si>
  <si>
    <t>VOH FM92 Radio</t>
  </si>
  <si>
    <t>voh-fm92-radio</t>
  </si>
  <si>
    <t>https://tv360.vn/tv/voh-fm92-radio?ch=10040</t>
  </si>
  <si>
    <t>https://img-zlr1.tv360.vn/image1/2026/05/25/08/1779674230519/04eefef71c5b_640_360.png</t>
  </si>
  <si>
    <t>232</t>
  </si>
  <si>
    <t>SCTV6</t>
  </si>
  <si>
    <t>sctv6</t>
  </si>
  <si>
    <t>https://tv360.vn/tv/sctv6?ch=232</t>
  </si>
  <si>
    <t>https://img-zlr1.tv360.vn/image1/2025/07/23/09/1753236453485/c454ca3f905f_640_360.png</t>
  </si>
  <si>
    <t>201</t>
  </si>
  <si>
    <t>SCTV2 - Today TV</t>
  </si>
  <si>
    <t>sctv2-today-tv</t>
  </si>
  <si>
    <t>https://tv360.vn/tv/sctv2-today-tv?ch=201</t>
  </si>
  <si>
    <t>https://img-zlr1.tv360.vn/image1/2025/07/23/09/1753236497766/f76b7bf7b94c_640_360.png</t>
  </si>
  <si>
    <t>174</t>
  </si>
  <si>
    <t>VTVcab 16 - On Football HD</t>
  </si>
  <si>
    <t>vtvcab-16-hd</t>
  </si>
  <si>
    <t>https://tv360.vn/tv/vtvcab-16-hd?ch=174</t>
  </si>
  <si>
    <t>https://img-zlr1.tv360.vn/image1/2023/04/28/09/1682650260303/bc7fe5334315_640_360.png</t>
  </si>
  <si>
    <t>173</t>
  </si>
  <si>
    <t>VTVcab 3 - On Sports</t>
  </si>
  <si>
    <t>vtvcab-3-on-sports</t>
  </si>
  <si>
    <t>https://tv360.vn/tv/vtvcab-3-on-sports?ch=173</t>
  </si>
  <si>
    <t>https://img-zlr1.tv360.vn/image1/2023/04/28/09/1682650417399/08d4190f7711_640_360.png</t>
  </si>
  <si>
    <t>170</t>
  </si>
  <si>
    <t>VTVcab 18 - On Sports News</t>
  </si>
  <si>
    <t>vtvcab-18-on-sports-news</t>
  </si>
  <si>
    <t>https://tv360.vn/tv/vtvcab-18-on-sports-news?ch=170</t>
  </si>
  <si>
    <t>https://img-zlr1.tv360.vn/image1/2023/04/28/09/1682650363143/71956aa35c78_640_360.png</t>
  </si>
  <si>
    <t>169</t>
  </si>
  <si>
    <t>VTVcab 23 - Golf Channel</t>
  </si>
  <si>
    <t>vtvcab-23-golf-channel</t>
  </si>
  <si>
    <t>https://tv360.vn/tv/vtvcab-23-golf-channel?ch=169</t>
  </si>
  <si>
    <t>https://img-zlr1.tv360.vn/image1/2023/04/28/09/1682650320416/f57f4fd63788_640_360.png</t>
  </si>
  <si>
    <t>183</t>
  </si>
  <si>
    <t>VTVcab 6 - On Sports +</t>
  </si>
  <si>
    <t>vtvcab-6-on-sports</t>
  </si>
  <si>
    <t>https://tv360.vn/tv/vtvcab-6-on-sports?ch=183</t>
  </si>
  <si>
    <t>https://img-zlr1.tv360.vn/image1/2023/04/28/09/1682650447548/72acfa0eca2c_640_360.png</t>
  </si>
  <si>
    <t>180</t>
  </si>
  <si>
    <t>VTVcab 1 - Vie Giải Trí HD</t>
  </si>
  <si>
    <t>vtvcab-1-vie-giai-tri-hd</t>
  </si>
  <si>
    <t>https://tv360.vn/tv/vtvcab-1-vie-giai-tri-hd?ch=180</t>
  </si>
  <si>
    <t>https://img-zlr1.tv360.vn/image1/2024/01/02/23/1704211446236/d1503bd3566e_640_360.png</t>
  </si>
  <si>
    <t>175</t>
  </si>
  <si>
    <t>VTVcab 2 - Phim Việt HD</t>
  </si>
  <si>
    <t>vtvcab-2-phim-viet-hd</t>
  </si>
  <si>
    <t>https://tv360.vn/tv/vtvcab-2-phim-viet-hd?ch=175</t>
  </si>
  <si>
    <t>https://img-zlr1.tv360.vn/image1/2021/09/07/16/1631007494845/516efb158133_640_360.png</t>
  </si>
  <si>
    <t>176</t>
  </si>
  <si>
    <t>VTVcab10 - On Cine HD</t>
  </si>
  <si>
    <t>vtvcab10-on-cine-hd</t>
  </si>
  <si>
    <t>https://tv360.vn/tv/vtvcab10-on-cine-hd?ch=176</t>
  </si>
  <si>
    <t>https://img-zlr1.tv360.vn/image1/2021/09/07/17/1631009339636/95e9bc61877c_640_360.png</t>
  </si>
  <si>
    <t>177</t>
  </si>
  <si>
    <t>VTVcab19 – Vie Dramas</t>
  </si>
  <si>
    <t>vtvcab19-vie-dramas</t>
  </si>
  <si>
    <t>https://tv360.vn/tv/vtvcab19-vie-dramas?ch=177</t>
  </si>
  <si>
    <t>https://img-zlr1.tv360.vn/image1/2024/01/03/07/1704241415128/050934936855_640_360.png</t>
  </si>
  <si>
    <t>178</t>
  </si>
  <si>
    <t>VTVcab 8 Bibi SD</t>
  </si>
  <si>
    <t>vtvcab-8-bi-bi-sd</t>
  </si>
  <si>
    <t>https://tv360.vn/tv/vtvcab-8-bi-bi-sd?ch=178</t>
  </si>
  <si>
    <t>https://img-zlr1.tv360.vn/image1/2023/07/19/08/1689731979485/df22eff3c261_640_360.png</t>
  </si>
  <si>
    <t>179</t>
  </si>
  <si>
    <t>VTVcab 21- Cartoon Kids HD</t>
  </si>
  <si>
    <t>vtvcab-21-cartoon-kids-hd</t>
  </si>
  <si>
    <t>https://tv360.vn/tv/vtvcab-21-cartoon-kids-hd?ch=179</t>
  </si>
  <si>
    <t>https://img-zlr1.tv360.vn/image1/2025/07/21/14/1753083917555/313a5cc8943c_640_360.png</t>
  </si>
  <si>
    <t>181</t>
  </si>
  <si>
    <t>Vtvcab 4 – On Movies</t>
  </si>
  <si>
    <t>vtvcab-4-on-movies</t>
  </si>
  <si>
    <t>https://tv360.vn/tv/vtvcab-4-on-movies?ch=181</t>
  </si>
  <si>
    <t>https://img-zlr1.tv360.vn/image1/2023/02/16/16/1676540062912/f21d4df5b545_640_360.png</t>
  </si>
  <si>
    <t>182</t>
  </si>
  <si>
    <t>VTVcab 5 - E Channel HD</t>
  </si>
  <si>
    <t>vtvcab-5-e-channel-hd</t>
  </si>
  <si>
    <t>https://tv360.vn/tv/vtvcab-5-e-channel-hd?ch=182</t>
  </si>
  <si>
    <t>https://img-zlr1.tv360.vn/image1/2023/07/19/15/1689755306897/935d4d4cde0d_640_360.png</t>
  </si>
  <si>
    <t>184</t>
  </si>
  <si>
    <t>VTVcab 12 - StyleTV HD</t>
  </si>
  <si>
    <t>vtvcab-12-styletv-hd</t>
  </si>
  <si>
    <t>https://tv360.vn/tv/vtvcab-12-styletv-hd?ch=184</t>
  </si>
  <si>
    <t>https://img-zlr1.tv360.vn/image1/2023/07/19/09/1689732221934/7138a2e2ade1_640_360.png</t>
  </si>
  <si>
    <t>185</t>
  </si>
  <si>
    <t>VTVcab15 – On Music</t>
  </si>
  <si>
    <t>vtvcab15-on-music</t>
  </si>
  <si>
    <t>https://tv360.vn/tv/vtvcab15-on-music?ch=185</t>
  </si>
  <si>
    <t>https://img-zlr1.tv360.vn/image1/2023/07/20/10/1689822524259/0f3a4d1ebfaf_640_360.png</t>
  </si>
  <si>
    <t>186</t>
  </si>
  <si>
    <t>Vtvcab17 – Trending TV</t>
  </si>
  <si>
    <t>vtvcab17-trending-tv</t>
  </si>
  <si>
    <t>https://tv360.vn/tv/vtvcab17-trending-tv?ch=186</t>
  </si>
  <si>
    <t>https://img-zlr1.tv360.vn/image1/2023/07/19/16/1689759248732/ebe66c03d7f6_640_360.png</t>
  </si>
  <si>
    <t>187</t>
  </si>
  <si>
    <t>VTVcab 20 - V Family HD</t>
  </si>
  <si>
    <t>vtvcab-20-v-family-hd</t>
  </si>
  <si>
    <t>https://tv360.vn/tv/vtvcab-20-v-family-hd?ch=187</t>
  </si>
  <si>
    <t>https://img-zlr1.tv360.vn/image1/2023/07/19/09/1689732486538/904f55c861b5_640_360.png</t>
  </si>
  <si>
    <t>188</t>
  </si>
  <si>
    <t>VTVcab 22 - Life TV HD</t>
  </si>
  <si>
    <t>vtvcab-22-life-tv-hd</t>
  </si>
  <si>
    <t>https://tv360.vn/tv/vtvcab-22-life-tv-hd?ch=188</t>
  </si>
  <si>
    <t>https://img-zlr1.tv360.vn/image1/2023/07/19/09/1689732652862/f124f55c3587_640_360.png</t>
  </si>
  <si>
    <t>189</t>
  </si>
  <si>
    <t>VTVcab 9 - InfoTV HD</t>
  </si>
  <si>
    <t>vtvcab-9-infotv-hd</t>
  </si>
  <si>
    <t>https://tv360.vn/tv/vtvcab-9-infotv-hd?ch=189</t>
  </si>
  <si>
    <t>https://img-zlr1.tv360.vn/image1/2023/07/19/09/1689732099410/a13853e5de55_640_360.png</t>
  </si>
  <si>
    <t>136</t>
  </si>
  <si>
    <t>O2TV</t>
  </si>
  <si>
    <t>o2tv</t>
  </si>
  <si>
    <t>https://tv360.vn/tv/o2tv?ch=136</t>
  </si>
  <si>
    <t>https://img-zlr1.tv360.vn/image1/2024/08/06/23/1722961565788/ba3ae8e7865d_640_360.png</t>
  </si>
  <si>
    <t>134</t>
  </si>
  <si>
    <t>Quảng Ninh 3</t>
  </si>
  <si>
    <t>quang-ninh-3</t>
  </si>
  <si>
    <t>https://tv360.vn/tv/quang-ninh-3?ch=134</t>
  </si>
  <si>
    <t>https://img-zlr1.tv360.vn/image1/2024/10/03/21/1727967101708/09889ad04773_640_360.png</t>
  </si>
  <si>
    <t>33</t>
  </si>
  <si>
    <t>Hà Nội 1</t>
  </si>
  <si>
    <t>ha-noi-1</t>
  </si>
  <si>
    <t>https://tv360.vn/tv/ha-noi-1?ch=33</t>
  </si>
  <si>
    <t>https://img-zlr1.tv360.vn/image1/2024/10/07/17/1728296855302/149490571e60_640_360.png</t>
  </si>
  <si>
    <t>34</t>
  </si>
  <si>
    <t>Hà Nội 2</t>
  </si>
  <si>
    <t>ha-noi-2</t>
  </si>
  <si>
    <t>https://tv360.vn/tv/ha-noi-2?ch=34</t>
  </si>
  <si>
    <t>https://img-zlr1.tv360.vn/image1/2024/10/07/16/1728293033798/d23973063be9_640_360.png</t>
  </si>
  <si>
    <t>35</t>
  </si>
  <si>
    <t>An Giang 2</t>
  </si>
  <si>
    <t>an-giang-2</t>
  </si>
  <si>
    <t>https://tv360.vn/tv/an-giang-2?ch=35</t>
  </si>
  <si>
    <t>https://img-zlr1.tv360.vn/image1/2025/07/01/15/1751358776543/87a0d91f8e5a_640_360.png</t>
  </si>
  <si>
    <t>9838</t>
  </si>
  <si>
    <t>BTV6</t>
  </si>
  <si>
    <t>btv6</t>
  </si>
  <si>
    <t>https://tv360.vn/tv/btv6?ch=9838</t>
  </si>
  <si>
    <t>https://img-zlr1.tv360.vn/image1/2026/07/31/00/1785431520501/782bdfe129db_640_360.png</t>
  </si>
  <si>
    <t>31</t>
  </si>
  <si>
    <t>YouTV</t>
  </si>
  <si>
    <t>youtv</t>
  </si>
  <si>
    <t>https://tv360.vn/tv/youtv?ch=31</t>
  </si>
  <si>
    <t>https://img-zlr1.tv360.vn/image1/2020_09_23/1600823396313/7b474bf7bbce_640_360.png</t>
  </si>
  <si>
    <t>32</t>
  </si>
  <si>
    <t>HITV</t>
  </si>
  <si>
    <t>hitv</t>
  </si>
  <si>
    <t>https://tv360.vn/tv/hitv?ch=32</t>
  </si>
  <si>
    <t>https://img-zlr1.tv360.vn/image1/2020_09_23/1600823412691/61627b84a612_640_360.png</t>
  </si>
  <si>
    <t>39</t>
  </si>
  <si>
    <t>Bắc Ninh</t>
  </si>
  <si>
    <t>bac-ninh</t>
  </si>
  <si>
    <t>https://tv360.vn/tv/bac-ninh?ch=39</t>
  </si>
  <si>
    <t>https://img-zlr1.tv360.vn/image1/2024/10/07/16/1728292026843/2a0e3c73a0a3_640_360.png</t>
  </si>
  <si>
    <t>45</t>
  </si>
  <si>
    <t>Lâm Đồng 2</t>
  </si>
  <si>
    <t>lam-dong-2</t>
  </si>
  <si>
    <t>https://tv360.vn/tv/lam-dong-2?ch=45</t>
  </si>
  <si>
    <t>https://img-zlr1.tv360.vn/image1/2025/09/16/10/1757993660312/1082b4f9d963_640_360.png</t>
  </si>
  <si>
    <t>46</t>
  </si>
  <si>
    <t>Cà Mau</t>
  </si>
  <si>
    <t>ca-mau</t>
  </si>
  <si>
    <t>https://tv360.vn/tv/ca-mau?ch=46</t>
  </si>
  <si>
    <t>https://img-zlr1.tv360.vn/image1/2024/10/07/16/1728292350834/ec688c9d5bb2_640_360.png</t>
  </si>
  <si>
    <t>47</t>
  </si>
  <si>
    <t>Cần Thơ 1</t>
  </si>
  <si>
    <t>can-tho-1</t>
  </si>
  <si>
    <t>https://tv360.vn/tv/can-tho-1?ch=47</t>
  </si>
  <si>
    <t>https://img-zlr1.tv360.vn/image1/2025/11/05/16/1762336328954/07ecc9b857a5_640_360.png</t>
  </si>
  <si>
    <t>48</t>
  </si>
  <si>
    <t>Cao Bằng</t>
  </si>
  <si>
    <t>cao-bang</t>
  </si>
  <si>
    <t>https://tv360.vn/tv/cao-bang?ch=48</t>
  </si>
  <si>
    <t>https://img-zlr1.tv360.vn/image1/2024/10/07/16/1728292499129/aeb3499f5824_640_360.png</t>
  </si>
  <si>
    <t>49</t>
  </si>
  <si>
    <t>Đà Nẵng 1</t>
  </si>
  <si>
    <t>da-nang-1</t>
  </si>
  <si>
    <t>https://tv360.vn/tv/da-nang-1?ch=49</t>
  </si>
  <si>
    <t>https://img-zlr1.tv360.vn/image1/2025/07/01/09/1751337054302/df569bbaeead_640_360.png</t>
  </si>
  <si>
    <t>51</t>
  </si>
  <si>
    <t>Đắk Lắk</t>
  </si>
  <si>
    <t>dak-lak</t>
  </si>
  <si>
    <t>https://tv360.vn/tv/dak-lak?ch=51</t>
  </si>
  <si>
    <t>https://img-zlr1.tv360.vn/image1/2025/06/30/11/1751256466336/bda77a407209_640_360.png</t>
  </si>
  <si>
    <t>52</t>
  </si>
  <si>
    <t>Điện Biên</t>
  </si>
  <si>
    <t>dien-bien</t>
  </si>
  <si>
    <t>https://tv360.vn/tv/dien-bien?ch=52</t>
  </si>
  <si>
    <t>https://img-zlr1.tv360.vn/image1/2020_09_23/1600823593760/3a9a9e608e8d_640_360.png</t>
  </si>
  <si>
    <t>53</t>
  </si>
  <si>
    <t>Đồng Nai 1</t>
  </si>
  <si>
    <t>dong-nai-1</t>
  </si>
  <si>
    <t>https://tv360.vn/tv/dong-nai-1?ch=53</t>
  </si>
  <si>
    <t>https://img-zlr1.tv360.vn/image1/2024/10/07/16/1728292646666/9cb8f84c6b6a_640_360.png</t>
  </si>
  <si>
    <t>54</t>
  </si>
  <si>
    <t>Đồng Tháp 1</t>
  </si>
  <si>
    <t>dong-thap-1</t>
  </si>
  <si>
    <t>https://tv360.vn/tv/dong-thap-1?ch=54</t>
  </si>
  <si>
    <t>https://img-zlr1.tv360.vn/image1/2025/07/01/08/1751331689553/f287ef8d8574_640_360.png</t>
  </si>
  <si>
    <t>55</t>
  </si>
  <si>
    <t>Gia Lai</t>
  </si>
  <si>
    <t>gia-lai</t>
  </si>
  <si>
    <t>https://tv360.vn/tv/gia-lai?ch=55</t>
  </si>
  <si>
    <t>https://img-zlr1.tv360.vn/image1/2025/07/01/15/1751357063814/d3ab51ec71c8_640_360.png</t>
  </si>
  <si>
    <t>58</t>
  </si>
  <si>
    <t>Hà Tĩnh</t>
  </si>
  <si>
    <t>ha-tinh</t>
  </si>
  <si>
    <t>https://tv360.vn/tv/ha-tinh?ch=58</t>
  </si>
  <si>
    <t>https://img-zlr1.tv360.vn/image1/2025/07/01/17/1751364753117/4f1f0d74fc87_640_360.png</t>
  </si>
  <si>
    <t>59</t>
  </si>
  <si>
    <t>Hải Phòng 3</t>
  </si>
  <si>
    <t>hai-phong-3</t>
  </si>
  <si>
    <t>https://tv360.vn/tv/hai-phong-3?ch=59</t>
  </si>
  <si>
    <t>https://img-zlr1.tv360.vn/image1/2025/07/01/08/1751332762796/cf7b86889958_640_360.png</t>
  </si>
  <si>
    <t>60</t>
  </si>
  <si>
    <t>Hải Phòng</t>
  </si>
  <si>
    <t>hai-phong</t>
  </si>
  <si>
    <t>https://tv360.vn/tv/hai-phong?ch=60</t>
  </si>
  <si>
    <t>https://img-zlr1.tv360.vn/image1/2024/10/07/16/1728293124933/96ed2cfade28_640_360.png</t>
  </si>
  <si>
    <t>61</t>
  </si>
  <si>
    <t>Cần Thơ 2</t>
  </si>
  <si>
    <t>can-tho-2</t>
  </si>
  <si>
    <t>https://tv360.vn/tv/can-tho-2?ch=61</t>
  </si>
  <si>
    <t>https://img-zlr1.tv360.vn/image1/2025/11/05/16/176233636246/8ded7c5a9010_640_360.png</t>
  </si>
  <si>
    <t>63</t>
  </si>
  <si>
    <t>Huế</t>
  </si>
  <si>
    <t>hue</t>
  </si>
  <si>
    <t>https://tv360.vn/tv/hue?ch=63</t>
  </si>
  <si>
    <t>https://img-zlr1.tv360.vn/image1/2025/07/01/17/1751364479653/fdd748c39c4d_640_360.png</t>
  </si>
  <si>
    <t>64</t>
  </si>
  <si>
    <t>Hưng Yên</t>
  </si>
  <si>
    <t>hung-yen</t>
  </si>
  <si>
    <t>https://tv360.vn/tv/hung-yen?ch=64</t>
  </si>
  <si>
    <t>https://img-zlr1.tv360.vn/image1/2023/07/18/14/1689667110643/2aa9348c16ec_640_360.png</t>
  </si>
  <si>
    <t>65</t>
  </si>
  <si>
    <t>Khánh Hòa</t>
  </si>
  <si>
    <t>khanh-hoa</t>
  </si>
  <si>
    <t>https://tv360.vn/tv/khanh-hoa?ch=65</t>
  </si>
  <si>
    <t>https://img-zlr1.tv360.vn/image1/2023/05/16/02/1684179436941/f2452666b507_640_360.png</t>
  </si>
  <si>
    <t>66</t>
  </si>
  <si>
    <t>An Giang 1</t>
  </si>
  <si>
    <t>an-giang-1</t>
  </si>
  <si>
    <t>https://tv360.vn/tv/an-giang-1?ch=66</t>
  </si>
  <si>
    <t>https://img-zlr1.tv360.vn/image1/2025/07/01/15/1751358809467/9f6c4f3dc4d0_640_360.png</t>
  </si>
  <si>
    <t>68</t>
  </si>
  <si>
    <t>Lai Châu</t>
  </si>
  <si>
    <t>lai-chau</t>
  </si>
  <si>
    <t>https://tv360.vn/tv/lai-chau?ch=68</t>
  </si>
  <si>
    <t>https://img-zlr1.tv360.vn/image1/2024/10/07/16/1728293379395/ade5683c1b92_640_360.png</t>
  </si>
  <si>
    <t>69</t>
  </si>
  <si>
    <t>Lâm Đồng 1</t>
  </si>
  <si>
    <t>lam-dong-1</t>
  </si>
  <si>
    <t>https://tv360.vn/tv/lam-dong-1?ch=69</t>
  </si>
  <si>
    <t>https://img-zlr1.tv360.vn/image1/2025/09/16/10/1757993571149/e3bbf8cbc985_640_360.png</t>
  </si>
  <si>
    <t>70</t>
  </si>
  <si>
    <t>Lạng Sơn</t>
  </si>
  <si>
    <t>lang-son</t>
  </si>
  <si>
    <t>https://tv360.vn/tv/lang-son?ch=70</t>
  </si>
  <si>
    <t>https://img-zlr1.tv360.vn/image1/2023/05/16/03/1684183176485/baf863bc2690_640_360.png</t>
  </si>
  <si>
    <t>71</t>
  </si>
  <si>
    <t>Lào Cai</t>
  </si>
  <si>
    <t>lao-cai</t>
  </si>
  <si>
    <t>https://tv360.vn/tv/lao-cai?ch=71</t>
  </si>
  <si>
    <t>https://img-zlr1.tv360.vn/image1/2025/07/01/07/1751329203146/5c287ccfa91a_640_360.png</t>
  </si>
  <si>
    <t>72</t>
  </si>
  <si>
    <t>Tây Ninh 1</t>
  </si>
  <si>
    <t>tay-ninh-1</t>
  </si>
  <si>
    <t>https://tv360.vn/tv/tay-ninh-1?ch=72</t>
  </si>
  <si>
    <t>https://img-zlr1.tv360.vn/image1/2026/01/10/08/1768009863485/1206cb944f9e_640_360.png</t>
  </si>
  <si>
    <t>74</t>
  </si>
  <si>
    <t>Nghệ An</t>
  </si>
  <si>
    <t>nghe-an</t>
  </si>
  <si>
    <t>https://tv360.vn/tv/nghe-an?ch=74</t>
  </si>
  <si>
    <t>https://img-zlr1.tv360.vn/image1/2020_09_23/1600821989411/75bfb004e210_640_360.png</t>
  </si>
  <si>
    <t>75</t>
  </si>
  <si>
    <t>Ninh Bình</t>
  </si>
  <si>
    <t>ninh-binh</t>
  </si>
  <si>
    <t>https://tv360.vn/tv/ninh-binh?ch=75</t>
  </si>
  <si>
    <t>https://img-zlr1.tv360.vn/image1/2024/10/07/16/1728293640310/9aea44bf0f8d_640_360.png</t>
  </si>
  <si>
    <t>76</t>
  </si>
  <si>
    <t>Khánh Hòa 1</t>
  </si>
  <si>
    <t>khanh-hoa-1</t>
  </si>
  <si>
    <t>https://tv360.vn/tv/khanh-hoa-1?ch=76</t>
  </si>
  <si>
    <t>https://img-zlr1.tv360.vn/image1/2025/07/01/08/1751333362278/30e1a394f567_640_360.png</t>
  </si>
  <si>
    <t>77</t>
  </si>
  <si>
    <t>Phú Thọ</t>
  </si>
  <si>
    <t>phu-tho</t>
  </si>
  <si>
    <t>https://tv360.vn/tv/phu-tho?ch=77</t>
  </si>
  <si>
    <t>https://img-zlr1.tv360.vn/image1/2023/05/16/02/168417957456/7016ca1be5fa_640_360.png</t>
  </si>
  <si>
    <t>80</t>
  </si>
  <si>
    <t>Đà Nẵng 2</t>
  </si>
  <si>
    <t>da-nang-2</t>
  </si>
  <si>
    <t>https://tv360.vn/tv/da-nang-2?ch=80</t>
  </si>
  <si>
    <t>https://img-zlr1.tv360.vn/image1/2025/07/01/09/175133702497/eded20e0d35c_640_360.png</t>
  </si>
  <si>
    <t>81</t>
  </si>
  <si>
    <t>Quảng Ngãi</t>
  </si>
  <si>
    <t>quang-ngai</t>
  </si>
  <si>
    <t>https://tv360.vn/tv/quang-ngai?ch=81</t>
  </si>
  <si>
    <t>https://img-zlr1.tv360.vn/image1/2026/04/24/17/1777025132946/f2412266a876_640_360.png</t>
  </si>
  <si>
    <t>82</t>
  </si>
  <si>
    <t>Quảng Ninh 1</t>
  </si>
  <si>
    <t>quang-ninh-1</t>
  </si>
  <si>
    <t>https://tv360.vn/tv/quang-ninh-1?ch=82</t>
  </si>
  <si>
    <t>https://img-zlr1.tv360.vn/image1/2020_09_23/1600823547870/8f0cdf38412a_640_360.png</t>
  </si>
  <si>
    <t>83</t>
  </si>
  <si>
    <t>Quảng Trị</t>
  </si>
  <si>
    <t>quang-tri</t>
  </si>
  <si>
    <t>https://tv360.vn/tv/quang-tri?ch=83</t>
  </si>
  <si>
    <t>https://img-zlr1.tv360.vn/image1/2025/07/01/09/1751335585476/9d5c42897302_640_360.png</t>
  </si>
  <si>
    <t>84</t>
  </si>
  <si>
    <t>Cần Thơ 3</t>
  </si>
  <si>
    <t>can-tho-3</t>
  </si>
  <si>
    <t>https://tv360.vn/tv/can-tho-3?ch=84</t>
  </si>
  <si>
    <t>https://img-zlr1.tv360.vn/image1/2025/11/05/16/1762336060807/7b1128d4e7c7_640_360.png</t>
  </si>
  <si>
    <t>85</t>
  </si>
  <si>
    <t>Sơn La</t>
  </si>
  <si>
    <t>son-la</t>
  </si>
  <si>
    <t>https://tv360.vn/tv/son-la?ch=85</t>
  </si>
  <si>
    <t>https://img-zlr1.tv360.vn/image1/2020_09_23/1600823599924/b1d77a6c01a0_640_360.png</t>
  </si>
  <si>
    <t>88</t>
  </si>
  <si>
    <t>Thái Nguyên</t>
  </si>
  <si>
    <t>thai-nguyen</t>
  </si>
  <si>
    <t>https://tv360.vn/tv/thai-nguyen?ch=88</t>
  </si>
  <si>
    <t>https://img-zlr1.tv360.vn/image1/2025/07/01/07/1751329966912/3ddadef93c24_640_360.png</t>
  </si>
  <si>
    <t>89</t>
  </si>
  <si>
    <t>Thanh Hóa</t>
  </si>
  <si>
    <t>thanh-hoa</t>
  </si>
  <si>
    <t>https://tv360.vn/tv/thanh-hoa?ch=89</t>
  </si>
  <si>
    <t>https://img-zlr1.tv360.vn/image1/2020_09_23/1600821878406/58ff77e57117_640_360.png</t>
  </si>
  <si>
    <t>90</t>
  </si>
  <si>
    <t>Đồng Tháp 2</t>
  </si>
  <si>
    <t>dong-thap-2</t>
  </si>
  <si>
    <t>https://tv360.vn/tv/dong-thap-2?ch=90</t>
  </si>
  <si>
    <t>https://img-zlr1.tv360.vn/image1/2025/09/16/10/1757993795684/45f17a4f3b90_640_360.png</t>
  </si>
  <si>
    <t>92</t>
  </si>
  <si>
    <t>Tuyên Quang</t>
  </si>
  <si>
    <t>tuyen-quang</t>
  </si>
  <si>
    <t>https://tv360.vn/tv/tuyen-quang?ch=92</t>
  </si>
  <si>
    <t>https://img-zlr1.tv360.vn/image1/2023/05/10/03/1683663305895/0f3f1e5bd284_640_360.png</t>
  </si>
  <si>
    <t>255</t>
  </si>
  <si>
    <t>Đồng Nai</t>
  </si>
  <si>
    <t>dong-nai</t>
  </si>
  <si>
    <t>https://tv360.vn/tv/dong-nai?ch=255</t>
  </si>
  <si>
    <t>https://img-zlr1.tv360.vn/image1/2024/10/07/14/1728286716831/f297eef035cf_640_360.png</t>
  </si>
  <si>
    <t>9965</t>
  </si>
  <si>
    <t>Bóng chuyền</t>
  </si>
  <si>
    <t>bong-chuyen</t>
  </si>
  <si>
    <t>https://tv360.vn/tv/bong-chuyen?ch=9965</t>
  </si>
  <si>
    <t>https://img-zlr1.tv360.vn/image1/2026/08/21/10/1787282358832/d1274ba32e94_640_360.png</t>
  </si>
  <si>
    <t>horizontalImage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</si>
</sst>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opLeftCell="D1" workbookViewId="0">
      <selection activeCell="F2" sqref="F2"/>
    </sheetView>
  </sheetViews>
  <sheetFormatPr defaultRowHeight="15" x14ac:dyDescent="0.25"/>
  <cols>
    <col min="1" max="1" width="14" customWidth="1"/>
    <col min="2" max="3" width="35" customWidth="1"/>
    <col min="4" max="4" width="60" customWidth="1"/>
    <col min="5" max="5" width="70" customWidth="1"/>
    <col min="6" max="6" width="20" customWidth="1"/>
    <col min="7" max="7" width="3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tr">
        <f>IFERROR(VLOOKUP(A2,'Tham chiếu'!$A:$G,6,FALSE),"")</f>
        <v>vtv1-hd</v>
      </c>
      <c r="G2" t="str">
        <f>IFERROR(VLOOKUP(A2,'Tham chiếu'!$A:$G,7,FALSE),"")</f>
        <v>VTV1 HD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tr">
        <f>IFERROR(VLOOKUP(A3,'Tham chiếu'!$A:$G,6,FALSE),"")</f>
        <v>antv</v>
      </c>
      <c r="G3" t="str">
        <f>IFERROR(VLOOKUP(A3,'Tham chiếu'!$A:$G,7,FALSE),"")</f>
        <v>ANTV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tr">
        <f>IFERROR(VLOOKUP(A4,'Tham chiếu'!$A:$G,6,FALSE),"")</f>
        <v>qpvn-hd</v>
      </c>
      <c r="G4" t="str">
        <f>IFERROR(VLOOKUP(A4,'Tham chiếu'!$A:$G,7,FALSE),"")</f>
        <v>QPVN HD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tr">
        <f>IFERROR(VLOOKUP(A5,'Tham chiếu'!$A:$G,6,FALSE),"")</f>
        <v>vtv5-hd</v>
      </c>
      <c r="G5" t="str">
        <f>IFERROR(VLOOKUP(A5,'Tham chiếu'!$A:$G,7,FALSE),"")</f>
        <v>VTV5 HD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tr">
        <f>IFERROR(VLOOKUP(A6,'Tham chiếu'!$A:$G,6,FALSE),"")</f>
        <v>vietnam-today-hd</v>
      </c>
      <c r="G6" t="str">
        <f>IFERROR(VLOOKUP(A6,'Tham chiếu'!$A:$G,7,FALSE),"")</f>
        <v>VIETNAM TODAY HD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tr">
        <f>IFERROR(VLOOKUP(A7,'Tham chiếu'!$A:$G,6,FALSE),"")</f>
        <v>vtv2-hd</v>
      </c>
      <c r="G7" t="str">
        <f>IFERROR(VLOOKUP(A7,'Tham chiếu'!$A:$G,7,FALSE),"")</f>
        <v>VTV2 HD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tr">
        <f>IFERROR(VLOOKUP(A8,'Tham chiếu'!$A:$G,6,FALSE),"")</f>
        <v>vtv3-hd</v>
      </c>
      <c r="G8" t="str">
        <f>IFERROR(VLOOKUP(A8,'Tham chiếu'!$A:$G,7,FALSE),"")</f>
        <v>VTV3 HD</v>
      </c>
    </row>
    <row r="9" spans="1:7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tr">
        <f>IFERROR(VLOOKUP(A9,'Tham chiếu'!$A:$G,6,FALSE),"")</f>
        <v>vtv4-hd</v>
      </c>
      <c r="G9" t="str">
        <f>IFERROR(VLOOKUP(A9,'Tham chiếu'!$A:$G,7,FALSE),"")</f>
        <v>VTV4 HD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tr">
        <f>IFERROR(VLOOKUP(A10,'Tham chiếu'!$A:$G,6,FALSE),"")</f>
        <v>vtv5-tay-nguyen</v>
      </c>
      <c r="G10" t="str">
        <f>IFERROR(VLOOKUP(A10,'Tham chiếu'!$A:$G,7,FALSE),"")</f>
        <v>VTV5 Tây Nguyên</v>
      </c>
    </row>
    <row r="11" spans="1:7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tr">
        <f>IFERROR(VLOOKUP(A11,'Tham chiếu'!$A:$G,6,FALSE),"")</f>
        <v>vtv5-tay-nam-bo</v>
      </c>
      <c r="G11" t="str">
        <f>IFERROR(VLOOKUP(A11,'Tham chiếu'!$A:$G,7,FALSE),"")</f>
        <v>VTV5 Tây Nam Bộ</v>
      </c>
    </row>
    <row r="12" spans="1:7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tr">
        <f>IFERROR(VLOOKUP(A12,'Tham chiếu'!$A:$G,6,FALSE),"")</f>
        <v>vtv6-hd</v>
      </c>
      <c r="G12" t="str">
        <f>IFERROR(VLOOKUP(A12,'Tham chiếu'!$A:$G,7,FALSE),"")</f>
        <v>VTV6 HD</v>
      </c>
    </row>
    <row r="13" spans="1:7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tr">
        <f>IFERROR(VLOOKUP(A13,'Tham chiếu'!$A:$G,6,FALSE),"")</f>
        <v>vtv7-hd</v>
      </c>
      <c r="G13" t="str">
        <f>IFERROR(VLOOKUP(A13,'Tham chiếu'!$A:$G,7,FALSE),"")</f>
        <v>VTV7 HD</v>
      </c>
    </row>
    <row r="14" spans="1:7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tr">
        <f>IFERROR(VLOOKUP(A14,'Tham chiếu'!$A:$G,6,FALSE),"")</f>
        <v>vtv8-hd</v>
      </c>
      <c r="G14" t="str">
        <f>IFERROR(VLOOKUP(A14,'Tham chiếu'!$A:$G,7,FALSE),"")</f>
        <v>VTV8 HD</v>
      </c>
    </row>
    <row r="15" spans="1:7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tr">
        <f>IFERROR(VLOOKUP(A15,'Tham chiếu'!$A:$G,6,FALSE),"")</f>
        <v>vtv9-hd</v>
      </c>
      <c r="G15" t="str">
        <f>IFERROR(VLOOKUP(A15,'Tham chiếu'!$A:$G,7,FALSE),"")</f>
        <v>VTV9 HD</v>
      </c>
    </row>
    <row r="16" spans="1:7" x14ac:dyDescent="0.2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tr">
        <f>IFERROR(VLOOKUP(A16,'Tham chiếu'!$A:$G,6,FALSE),"")</f>
        <v>vtv10-hd</v>
      </c>
      <c r="G16" t="str">
        <f>IFERROR(VLOOKUP(A16,'Tham chiếu'!$A:$G,7,FALSE),"")</f>
        <v>VTV10 HD</v>
      </c>
    </row>
    <row r="17" spans="1:7" x14ac:dyDescent="0.2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tr">
        <f>IFERROR(VLOOKUP(A17,'Tham chiếu'!$A:$G,6,FALSE),"")</f>
        <v>tv360-1</v>
      </c>
      <c r="G17" t="str">
        <f>IFERROR(VLOOKUP(A17,'Tham chiếu'!$A:$G,7,FALSE),"")</f>
        <v>TV360+ 1</v>
      </c>
    </row>
    <row r="18" spans="1:7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tr">
        <f>IFERROR(VLOOKUP(A18,'Tham chiếu'!$A:$G,6,FALSE),"")</f>
        <v>tv360-2</v>
      </c>
      <c r="G18" t="str">
        <f>IFERROR(VLOOKUP(A18,'Tham chiếu'!$A:$G,7,FALSE),"")</f>
        <v>TV360+ 2</v>
      </c>
    </row>
    <row r="19" spans="1:7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tr">
        <f>IFERROR(VLOOKUP(A19,'Tham chiếu'!$A:$G,6,FALSE),"")</f>
        <v>tv360-3</v>
      </c>
      <c r="G19" t="str">
        <f>IFERROR(VLOOKUP(A19,'Tham chiếu'!$A:$G,7,FALSE),"")</f>
        <v>TV360+ 3</v>
      </c>
    </row>
    <row r="20" spans="1:7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tr">
        <f>IFERROR(VLOOKUP(A20,'Tham chiếu'!$A:$G,6,FALSE),"")</f>
        <v>tv360-4</v>
      </c>
      <c r="G20" t="str">
        <f>IFERROR(VLOOKUP(A20,'Tham chiếu'!$A:$G,7,FALSE),"")</f>
        <v>TV360+ 4</v>
      </c>
    </row>
    <row r="21" spans="1:7" x14ac:dyDescent="0.2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tr">
        <f>IFERROR(VLOOKUP(A21,'Tham chiếu'!$A:$G,6,FALSE),"")</f>
        <v>tv360-5</v>
      </c>
      <c r="G21" t="str">
        <f>IFERROR(VLOOKUP(A21,'Tham chiếu'!$A:$G,7,FALSE),"")</f>
        <v>TV360+ 5</v>
      </c>
    </row>
    <row r="22" spans="1:7" x14ac:dyDescent="0.2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tr">
        <f>IFERROR(VLOOKUP(A22,'Tham chiếu'!$A:$G,6,FALSE),"")</f>
        <v>tv360-6</v>
      </c>
      <c r="G22" t="str">
        <f>IFERROR(VLOOKUP(A22,'Tham chiếu'!$A:$G,7,FALSE),"")</f>
        <v>TV360+ 6</v>
      </c>
    </row>
    <row r="23" spans="1:7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tr">
        <f>IFERROR(VLOOKUP(A23,'Tham chiếu'!$A:$G,6,FALSE),"")</f>
        <v>tv360-7</v>
      </c>
      <c r="G23" t="str">
        <f>IFERROR(VLOOKUP(A23,'Tham chiếu'!$A:$G,7,FALSE),"")</f>
        <v>TV360+ 7</v>
      </c>
    </row>
    <row r="24" spans="1:7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tr">
        <f>IFERROR(VLOOKUP(A24,'Tham chiếu'!$A:$G,6,FALSE),"")</f>
        <v>tv360-8</v>
      </c>
      <c r="G24" t="str">
        <f>IFERROR(VLOOKUP(A24,'Tham chiếu'!$A:$G,7,FALSE),"")</f>
        <v>TV360+ 8</v>
      </c>
    </row>
    <row r="25" spans="1:7" x14ac:dyDescent="0.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tr">
        <f>IFERROR(VLOOKUP(A25,'Tham chiếu'!$A:$G,6,FALSE),"")</f>
        <v>tv360-9</v>
      </c>
      <c r="G25" t="str">
        <f>IFERROR(VLOOKUP(A25,'Tham chiếu'!$A:$G,7,FALSE),"")</f>
        <v>TV360+ 9</v>
      </c>
    </row>
    <row r="26" spans="1:7" x14ac:dyDescent="0.2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tr">
        <f>IFERROR(VLOOKUP(A26,'Tham chiếu'!$A:$G,6,FALSE),"")</f>
        <v>tv360-10</v>
      </c>
      <c r="G26" t="str">
        <f>IFERROR(VLOOKUP(A26,'Tham chiếu'!$A:$G,7,FALSE),"")</f>
        <v>TV360+ 10</v>
      </c>
    </row>
    <row r="27" spans="1:7" x14ac:dyDescent="0.2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tr">
        <f>IFERROR(VLOOKUP(A27,'Tham chiếu'!$A:$G,6,FALSE),"")</f>
        <v>tv360-11</v>
      </c>
      <c r="G27" t="str">
        <f>IFERROR(VLOOKUP(A27,'Tham chiếu'!$A:$G,7,FALSE),"")</f>
        <v>TV360+ 11</v>
      </c>
    </row>
    <row r="28" spans="1:7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tr">
        <f>IFERROR(VLOOKUP(A28,'Tham chiếu'!$A:$G,6,FALSE),"")</f>
        <v>tv360-12</v>
      </c>
      <c r="G28" t="str">
        <f>IFERROR(VLOOKUP(A28,'Tham chiếu'!$A:$G,7,FALSE),"")</f>
        <v>TV360+ 12</v>
      </c>
    </row>
    <row r="29" spans="1:7" x14ac:dyDescent="0.2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tr">
        <f>IFERROR(VLOOKUP(A29,'Tham chiếu'!$A:$G,6,FALSE),"")</f>
        <v>tv360-13</v>
      </c>
      <c r="G29" t="str">
        <f>IFERROR(VLOOKUP(A29,'Tham chiếu'!$A:$G,7,FALSE),"")</f>
        <v>TV360+ 13</v>
      </c>
    </row>
    <row r="30" spans="1:7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tr">
        <f>IFERROR(VLOOKUP(A30,'Tham chiếu'!$A:$G,6,FALSE),"")</f>
        <v>tv360-14</v>
      </c>
      <c r="G30" t="str">
        <f>IFERROR(VLOOKUP(A30,'Tham chiếu'!$A:$G,7,FALSE),"")</f>
        <v>TV360+ 14</v>
      </c>
    </row>
    <row r="31" spans="1:7" x14ac:dyDescent="0.2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tr">
        <f>IFERROR(VLOOKUP(A31,'Tham chiếu'!$A:$G,6,FALSE),"")</f>
        <v>tv360-15</v>
      </c>
      <c r="G31" t="str">
        <f>IFERROR(VLOOKUP(A31,'Tham chiếu'!$A:$G,7,FALSE),"")</f>
        <v>TV360+ 15</v>
      </c>
    </row>
    <row r="32" spans="1:7" x14ac:dyDescent="0.2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tr">
        <f>IFERROR(VLOOKUP(A32,'Tham chiếu'!$A:$G,6,FALSE),"")</f>
        <v>tv360-16</v>
      </c>
      <c r="G32" t="str">
        <f>IFERROR(VLOOKUP(A32,'Tham chiếu'!$A:$G,7,FALSE),"")</f>
        <v>TV360+ 16</v>
      </c>
    </row>
    <row r="33" spans="1:7" x14ac:dyDescent="0.2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tr">
        <f>IFERROR(VLOOKUP(A33,'Tham chiếu'!$A:$G,6,FALSE),"")</f>
        <v>tv360</v>
      </c>
      <c r="G33" t="str">
        <f>IFERROR(VLOOKUP(A33,'Tham chiếu'!$A:$G,7,FALSE),"")</f>
        <v>TV360</v>
      </c>
    </row>
    <row r="34" spans="1:7" x14ac:dyDescent="0.2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tr">
        <f>IFERROR(VLOOKUP(A34,'Tham chiếu'!$A:$G,6,FALSE),"")</f>
        <v>phim-viet</v>
      </c>
      <c r="G34" t="str">
        <f>IFERROR(VLOOKUP(A34,'Tham chiếu'!$A:$G,7,FALSE),"")</f>
        <v>Phim Việt</v>
      </c>
    </row>
    <row r="35" spans="1:7" x14ac:dyDescent="0.2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tr">
        <f>IFERROR(VLOOKUP(A35,'Tham chiếu'!$A:$G,6,FALSE),"")</f>
        <v>phim-au-my</v>
      </c>
      <c r="G35" t="str">
        <f>IFERROR(VLOOKUP(A35,'Tham chiếu'!$A:$G,7,FALSE),"")</f>
        <v>Phim Âu Mỹ</v>
      </c>
    </row>
    <row r="36" spans="1:7" x14ac:dyDescent="0.2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tr">
        <f>IFERROR(VLOOKUP(A36,'Tham chiếu'!$A:$G,6,FALSE),"")</f>
        <v>hoat-hinh</v>
      </c>
      <c r="G36" t="str">
        <f>IFERROR(VLOOKUP(A36,'Tham chiếu'!$A:$G,7,FALSE),"")</f>
        <v>Hoạt hình</v>
      </c>
    </row>
    <row r="37" spans="1:7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tr">
        <f>IFERROR(VLOOKUP(A37,'Tham chiếu'!$A:$G,6,FALSE),"")</f>
        <v>360-hoa-ngu</v>
      </c>
      <c r="G37" t="str">
        <f>IFERROR(VLOOKUP(A37,'Tham chiếu'!$A:$G,7,FALSE),"")</f>
        <v>360 Hoa Ngữ</v>
      </c>
    </row>
    <row r="38" spans="1:7" x14ac:dyDescent="0.25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t="str">
        <f>IFERROR(VLOOKUP(A38,'Tham chiếu'!$A:$G,6,FALSE),"")</f>
        <v>360-hanh-dong-chau-a</v>
      </c>
      <c r="G38" t="str">
        <f>IFERROR(VLOOKUP(A38,'Tham chiếu'!$A:$G,7,FALSE),"")</f>
        <v>360 Hành động Châu Á</v>
      </c>
    </row>
    <row r="39" spans="1:7" x14ac:dyDescent="0.25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 t="str">
        <f>IFERROR(VLOOKUP(A39,'Tham chiếu'!$A:$G,6,FALSE),"")</f>
        <v>360-k-drama</v>
      </c>
      <c r="G39" t="str">
        <f>IFERROR(VLOOKUP(A39,'Tham chiếu'!$A:$G,7,FALSE),"")</f>
        <v>360 K-Drama</v>
      </c>
    </row>
    <row r="40" spans="1:7" x14ac:dyDescent="0.25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t="str">
        <f>IFERROR(VLOOKUP(A40,'Tham chiếu'!$A:$G,6,FALSE),"")</f>
        <v>360-hai-tinh-cam</v>
      </c>
      <c r="G40" t="str">
        <f>IFERROR(VLOOKUP(A40,'Tham chiếu'!$A:$G,7,FALSE),"")</f>
        <v>360 Hài -Tình cảm</v>
      </c>
    </row>
    <row r="41" spans="1:7" x14ac:dyDescent="0.2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tr">
        <f>IFERROR(VLOOKUP(A41,'Tham chiếu'!$A:$G,6,FALSE),"")</f>
        <v>360-phim-kinh-dien</v>
      </c>
      <c r="G41" t="str">
        <f>IFERROR(VLOOKUP(A41,'Tham chiếu'!$A:$G,7,FALSE),"")</f>
        <v>360 Phim Kinh điển</v>
      </c>
    </row>
    <row r="42" spans="1:7" x14ac:dyDescent="0.25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 t="str">
        <f>IFERROR(VLOOKUP(A42,'Tham chiếu'!$A:$G,6,FALSE),"")</f>
        <v>360-anime</v>
      </c>
      <c r="G42" t="str">
        <f>IFERROR(VLOOKUP(A42,'Tham chiếu'!$A:$G,7,FALSE),"")</f>
        <v>360 Anime</v>
      </c>
    </row>
    <row r="43" spans="1:7" x14ac:dyDescent="0.25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 t="str">
        <f>IFERROR(VLOOKUP(A43,'Tham chiếu'!$A:$G,6,FALSE),"")</f>
        <v>360-thieu-nhi</v>
      </c>
      <c r="G43" t="str">
        <f>IFERROR(VLOOKUP(A43,'Tham chiếu'!$A:$G,7,FALSE),"")</f>
        <v>360 Thiếu Nhi</v>
      </c>
    </row>
    <row r="44" spans="1:7" x14ac:dyDescent="0.25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 t="str">
        <f>IFERROR(VLOOKUP(A44,'Tham chiếu'!$A:$G,6,FALSE),"")</f>
        <v>360-phim-4k</v>
      </c>
      <c r="G44" t="str">
        <f>IFERROR(VLOOKUP(A44,'Tham chiếu'!$A:$G,7,FALSE),"")</f>
        <v>360 Phim 4K</v>
      </c>
    </row>
    <row r="45" spans="1:7" x14ac:dyDescent="0.25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 t="str">
        <f>IFERROR(VLOOKUP(A45,'Tham chiếu'!$A:$G,6,FALSE),"")</f>
        <v>360-c1-chau-au</v>
      </c>
      <c r="G45" t="str">
        <f>IFERROR(VLOOKUP(A45,'Tham chiếu'!$A:$G,7,FALSE),"")</f>
        <v>360 C1 Châu Âu</v>
      </c>
    </row>
    <row r="46" spans="1:7" x14ac:dyDescent="0.25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tr">
        <f>IFERROR(VLOOKUP(A46,'Tham chiếu'!$A:$G,6,FALSE),"")</f>
        <v>360-c2-chau-au</v>
      </c>
      <c r="G46" t="str">
        <f>IFERROR(VLOOKUP(A46,'Tham chiếu'!$A:$G,7,FALSE),"")</f>
        <v>360 C2 Châu Âu</v>
      </c>
    </row>
    <row r="47" spans="1:7" x14ac:dyDescent="0.25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t="str">
        <f>IFERROR(VLOOKUP(A47,'Tham chiếu'!$A:$G,6,FALSE),"")</f>
        <v>360-c3-chau-au</v>
      </c>
      <c r="G47" t="str">
        <f>IFERROR(VLOOKUP(A47,'Tham chiếu'!$A:$G,7,FALSE),"")</f>
        <v>360 C3 Châu Âu</v>
      </c>
    </row>
    <row r="48" spans="1:7" x14ac:dyDescent="0.25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 t="str">
        <f>IFERROR(VLOOKUP(A48,'Tham chiếu'!$A:$G,6,FALSE),"")</f>
        <v>360-the-thao-chau-a</v>
      </c>
      <c r="G48" t="str">
        <f>IFERROR(VLOOKUP(A48,'Tham chiếu'!$A:$G,7,FALSE),"")</f>
        <v>360 Thể Thao Châu Á</v>
      </c>
    </row>
    <row r="49" spans="1:7" x14ac:dyDescent="0.25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 t="str">
        <f>IFERROR(VLOOKUP(A49,'Tham chiếu'!$A:$G,6,FALSE),"")</f>
        <v>360-cong-thuc-1</v>
      </c>
      <c r="G49" t="str">
        <f>IFERROR(VLOOKUP(A49,'Tham chiếu'!$A:$G,7,FALSE),"")</f>
        <v>360 Công Thức 1</v>
      </c>
    </row>
    <row r="50" spans="1:7" x14ac:dyDescent="0.25">
      <c r="A50" t="s">
        <v>246</v>
      </c>
      <c r="B50" t="s">
        <v>247</v>
      </c>
      <c r="C50" t="s">
        <v>248</v>
      </c>
      <c r="D50" t="s">
        <v>249</v>
      </c>
      <c r="E50" t="s">
        <v>250</v>
      </c>
      <c r="F50" t="str">
        <f>IFERROR(VLOOKUP(A50,'Tham chiếu'!$A:$G,6,FALSE),"")</f>
        <v>360-bundesliga</v>
      </c>
      <c r="G50" t="str">
        <f>IFERROR(VLOOKUP(A50,'Tham chiếu'!$A:$G,7,FALSE),"")</f>
        <v>360 Bundesliga</v>
      </c>
    </row>
    <row r="51" spans="1:7" x14ac:dyDescent="0.25">
      <c r="A51" t="s">
        <v>251</v>
      </c>
      <c r="B51" t="s">
        <v>252</v>
      </c>
      <c r="C51" t="s">
        <v>253</v>
      </c>
      <c r="D51" t="s">
        <v>254</v>
      </c>
      <c r="E51" t="s">
        <v>255</v>
      </c>
      <c r="F51" t="str">
        <f>IFERROR(VLOOKUP(A51,'Tham chiếu'!$A:$G,6,FALSE),"")</f>
        <v>360-golf</v>
      </c>
      <c r="G51" t="str">
        <f>IFERROR(VLOOKUP(A51,'Tham chiếu'!$A:$G,7,FALSE),"")</f>
        <v>360 Golf</v>
      </c>
    </row>
    <row r="52" spans="1:7" x14ac:dyDescent="0.25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 t="str">
        <f>IFERROR(VLOOKUP(A52,'Tham chiếu'!$A:$G,6,FALSE),"")</f>
        <v>360-tennis</v>
      </c>
      <c r="G52" t="str">
        <f>IFERROR(VLOOKUP(A52,'Tham chiếu'!$A:$G,7,FALSE),"")</f>
        <v>360 Tennis</v>
      </c>
    </row>
    <row r="53" spans="1:7" x14ac:dyDescent="0.25">
      <c r="A53" t="s">
        <v>261</v>
      </c>
      <c r="B53" t="s">
        <v>262</v>
      </c>
      <c r="C53" t="s">
        <v>263</v>
      </c>
      <c r="D53" t="s">
        <v>264</v>
      </c>
      <c r="E53" t="s">
        <v>265</v>
      </c>
      <c r="F53" t="str">
        <f>IFERROR(VLOOKUP(A53,'Tham chiếu'!$A:$G,6,FALSE),"")</f>
        <v>hbo</v>
      </c>
      <c r="G53" t="str">
        <f>IFERROR(VLOOKUP(A53,'Tham chiếu'!$A:$G,7,FALSE),"")</f>
        <v>HBO</v>
      </c>
    </row>
    <row r="54" spans="1:7" x14ac:dyDescent="0.25">
      <c r="A54" t="s">
        <v>266</v>
      </c>
      <c r="B54" t="s">
        <v>267</v>
      </c>
      <c r="C54" t="s">
        <v>268</v>
      </c>
      <c r="D54" t="s">
        <v>269</v>
      </c>
      <c r="E54" t="s">
        <v>270</v>
      </c>
      <c r="F54" t="str">
        <f>IFERROR(VLOOKUP(A54,'Tham chiếu'!$A:$G,6,FALSE),"")</f>
        <v>cinemax</v>
      </c>
      <c r="G54" t="str">
        <f>IFERROR(VLOOKUP(A54,'Tham chiếu'!$A:$G,7,FALSE),"")</f>
        <v>Cinemax</v>
      </c>
    </row>
    <row r="55" spans="1:7" x14ac:dyDescent="0.25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 t="str">
        <f>IFERROR(VLOOKUP(A55,'Tham chiếu'!$A:$G,6,FALSE),"")</f>
        <v>warner-tv</v>
      </c>
      <c r="G55" t="str">
        <f>IFERROR(VLOOKUP(A55,'Tham chiếu'!$A:$G,7,FALSE),"")</f>
        <v>Warner TV</v>
      </c>
    </row>
    <row r="56" spans="1:7" x14ac:dyDescent="0.25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tr">
        <f>IFERROR(VLOOKUP(A56,'Tham chiếu'!$A:$G,6,FALSE),"")</f>
        <v>axn</v>
      </c>
      <c r="G56" t="str">
        <f>IFERROR(VLOOKUP(A56,'Tham chiếu'!$A:$G,7,FALSE),"")</f>
        <v>AXN</v>
      </c>
    </row>
    <row r="57" spans="1:7" x14ac:dyDescent="0.25">
      <c r="A57" t="s">
        <v>281</v>
      </c>
      <c r="B57" t="s">
        <v>282</v>
      </c>
      <c r="C57" t="s">
        <v>283</v>
      </c>
      <c r="D57" t="s">
        <v>284</v>
      </c>
      <c r="E57" t="s">
        <v>285</v>
      </c>
      <c r="F57" t="str">
        <f>IFERROR(VLOOKUP(A57,'Tham chiếu'!$A:$G,6,FALSE),"")</f>
        <v>cinema-world</v>
      </c>
      <c r="G57" t="str">
        <f>IFERROR(VLOOKUP(A57,'Tham chiếu'!$A:$G,7,FALSE),"")</f>
        <v>Cinema World</v>
      </c>
    </row>
    <row r="58" spans="1:7" x14ac:dyDescent="0.25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 t="str">
        <f>IFERROR(VLOOKUP(A58,'Tham chiếu'!$A:$G,6,FALSE),"")</f>
        <v>dreamworks</v>
      </c>
      <c r="G58" t="str">
        <f>IFERROR(VLOOKUP(A58,'Tham chiếu'!$A:$G,7,FALSE),"")</f>
        <v>DreamWorks</v>
      </c>
    </row>
    <row r="59" spans="1:7" x14ac:dyDescent="0.25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 t="str">
        <f>IFERROR(VLOOKUP(A59,'Tham chiếu'!$A:$G,6,FALSE),"")</f>
        <v>cartoon</v>
      </c>
      <c r="G59" t="str">
        <f>IFERROR(VLOOKUP(A59,'Tham chiếu'!$A:$G,7,FALSE),"")</f>
        <v>Cartoon</v>
      </c>
    </row>
    <row r="60" spans="1:7" x14ac:dyDescent="0.25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t="str">
        <f>IFERROR(VLOOKUP(A60,'Tham chiếu'!$A:$G,6,FALSE),"")</f>
        <v>fashiontv</v>
      </c>
      <c r="G60" t="str">
        <f>IFERROR(VLOOKUP(A60,'Tham chiếu'!$A:$G,7,FALSE),"")</f>
        <v>FashionTV</v>
      </c>
    </row>
    <row r="61" spans="1:7" x14ac:dyDescent="0.25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t="str">
        <f>IFERROR(VLOOKUP(A61,'Tham chiếu'!$A:$G,6,FALSE),"")</f>
        <v>bloomberg</v>
      </c>
      <c r="G61" t="str">
        <f>IFERROR(VLOOKUP(A61,'Tham chiếu'!$A:$G,7,FALSE),"")</f>
        <v>Bloomberg</v>
      </c>
    </row>
    <row r="62" spans="1:7" x14ac:dyDescent="0.25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t="str">
        <f>IFERROR(VLOOKUP(A62,'Tham chiếu'!$A:$G,6,FALSE),"")</f>
        <v>discovery-channel</v>
      </c>
      <c r="G62" t="str">
        <f>IFERROR(VLOOKUP(A62,'Tham chiếu'!$A:$G,7,FALSE),"")</f>
        <v>Discovery Channel</v>
      </c>
    </row>
    <row r="63" spans="1:7" x14ac:dyDescent="0.25">
      <c r="A63" t="s">
        <v>311</v>
      </c>
      <c r="B63" t="s">
        <v>312</v>
      </c>
      <c r="C63" t="s">
        <v>313</v>
      </c>
      <c r="D63" t="s">
        <v>314</v>
      </c>
      <c r="E63" t="s">
        <v>315</v>
      </c>
      <c r="F63" t="str">
        <f>IFERROR(VLOOKUP(A63,'Tham chiếu'!$A:$G,6,FALSE),"")</f>
        <v>cnn</v>
      </c>
      <c r="G63" t="str">
        <f>IFERROR(VLOOKUP(A63,'Tham chiếu'!$A:$G,7,FALSE),"")</f>
        <v>CNN</v>
      </c>
    </row>
    <row r="64" spans="1:7" x14ac:dyDescent="0.25">
      <c r="A64" t="s">
        <v>316</v>
      </c>
      <c r="B64" t="s">
        <v>317</v>
      </c>
      <c r="C64" t="s">
        <v>318</v>
      </c>
      <c r="D64" t="s">
        <v>319</v>
      </c>
      <c r="E64" t="s">
        <v>320</v>
      </c>
      <c r="F64" t="str">
        <f>IFERROR(VLOOKUP(A64,'Tham chiếu'!$A:$G,6,FALSE),"")</f>
        <v>abc-australia</v>
      </c>
      <c r="G64" t="str">
        <f>IFERROR(VLOOKUP(A64,'Tham chiếu'!$A:$G,7,FALSE),"")</f>
        <v>ABC Australia</v>
      </c>
    </row>
    <row r="65" spans="1:7" x14ac:dyDescent="0.25">
      <c r="A65" t="s">
        <v>321</v>
      </c>
      <c r="B65" t="s">
        <v>322</v>
      </c>
      <c r="C65" t="s">
        <v>323</v>
      </c>
      <c r="D65" t="s">
        <v>324</v>
      </c>
      <c r="E65" t="s">
        <v>325</v>
      </c>
      <c r="F65" t="str">
        <f>IFERROR(VLOOKUP(A65,'Tham chiếu'!$A:$G,6,FALSE),"")</f>
        <v>outdoor-hd</v>
      </c>
      <c r="G65" t="str">
        <f>IFERROR(VLOOKUP(A65,'Tham chiếu'!$A:$G,7,FALSE),"")</f>
        <v>Outdoor HD</v>
      </c>
    </row>
    <row r="66" spans="1:7" x14ac:dyDescent="0.25">
      <c r="A66" t="s">
        <v>326</v>
      </c>
      <c r="B66" t="s">
        <v>327</v>
      </c>
      <c r="C66" t="s">
        <v>328</v>
      </c>
      <c r="D66" t="s">
        <v>329</v>
      </c>
      <c r="E66" t="s">
        <v>330</v>
      </c>
      <c r="F66" t="str">
        <f>IFERROR(VLOOKUP(A66,'Tham chiếu'!$A:$G,6,FALSE),"")</f>
        <v>channel-news-asia</v>
      </c>
      <c r="G66" t="str">
        <f>IFERROR(VLOOKUP(A66,'Tham chiếu'!$A:$G,7,FALSE),"")</f>
        <v>Channel News Asia</v>
      </c>
    </row>
    <row r="67" spans="1:7" x14ac:dyDescent="0.25">
      <c r="A67" t="s">
        <v>331</v>
      </c>
      <c r="B67" t="s">
        <v>332</v>
      </c>
      <c r="C67" t="s">
        <v>333</v>
      </c>
      <c r="D67" t="s">
        <v>334</v>
      </c>
      <c r="E67" t="s">
        <v>335</v>
      </c>
      <c r="F67" t="str">
        <f>IFERROR(VLOOKUP(A67,'Tham chiếu'!$A:$G,6,FALSE),"")</f>
        <v>afn-hd</v>
      </c>
      <c r="G67" t="str">
        <f>IFERROR(VLOOKUP(A67,'Tham chiếu'!$A:$G,7,FALSE),"")</f>
        <v>AFN HD</v>
      </c>
    </row>
    <row r="68" spans="1:7" x14ac:dyDescent="0.25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tr">
        <f>IFERROR(VLOOKUP(A68,'Tham chiếu'!$A:$G,6,FALSE),"")</f>
        <v>hgtv</v>
      </c>
      <c r="G68" t="str">
        <f>IFERROR(VLOOKUP(A68,'Tham chiếu'!$A:$G,7,FALSE),"")</f>
        <v>HGTV</v>
      </c>
    </row>
    <row r="69" spans="1:7" x14ac:dyDescent="0.25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tr">
        <f>IFERROR(VLOOKUP(A69,'Tham chiếu'!$A:$G,6,FALSE),"")</f>
        <v>kbs-world</v>
      </c>
      <c r="G69" t="str">
        <f>IFERROR(VLOOKUP(A69,'Tham chiếu'!$A:$G,7,FALSE),"")</f>
        <v>KBS World</v>
      </c>
    </row>
    <row r="70" spans="1:7" x14ac:dyDescent="0.25">
      <c r="A70" t="s">
        <v>346</v>
      </c>
      <c r="B70" t="s">
        <v>347</v>
      </c>
      <c r="C70" t="s">
        <v>348</v>
      </c>
      <c r="D70" t="s">
        <v>349</v>
      </c>
      <c r="E70" t="s">
        <v>350</v>
      </c>
      <c r="F70" t="str">
        <f>IFERROR(VLOOKUP(A70,'Tham chiếu'!$A:$G,6,FALSE),"")</f>
        <v>dw</v>
      </c>
      <c r="G70" t="str">
        <f>IFERROR(VLOOKUP(A70,'Tham chiếu'!$A:$G,7,FALSE),"")</f>
        <v>DW</v>
      </c>
    </row>
    <row r="71" spans="1:7" x14ac:dyDescent="0.25">
      <c r="A71" t="s">
        <v>351</v>
      </c>
      <c r="B71" t="s">
        <v>352</v>
      </c>
      <c r="C71" t="s">
        <v>353</v>
      </c>
      <c r="D71" t="s">
        <v>354</v>
      </c>
      <c r="E71" t="s">
        <v>355</v>
      </c>
      <c r="F71" t="str">
        <f>IFERROR(VLOOKUP(A71,'Tham chiếu'!$A:$G,6,FALSE),"")</f>
        <v>nhk</v>
      </c>
      <c r="G71" t="str">
        <f>IFERROR(VLOOKUP(A71,'Tham chiếu'!$A:$G,7,FALSE),"")</f>
        <v>NHK</v>
      </c>
    </row>
    <row r="72" spans="1:7" x14ac:dyDescent="0.25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tr">
        <f>IFERROR(VLOOKUP(A72,'Tham chiếu'!$A:$G,6,FALSE),"")</f>
        <v>france-24</v>
      </c>
      <c r="G72" t="str">
        <f>IFERROR(VLOOKUP(A72,'Tham chiếu'!$A:$G,7,FALSE),"")</f>
        <v>France 24</v>
      </c>
    </row>
    <row r="73" spans="1:7" x14ac:dyDescent="0.25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tr">
        <f>IFERROR(VLOOKUP(A73,'Tham chiếu'!$A:$G,6,FALSE),"")</f>
        <v>tv5</v>
      </c>
      <c r="G73" t="str">
        <f>IFERROR(VLOOKUP(A73,'Tham chiếu'!$A:$G,7,FALSE),"")</f>
        <v>TV5</v>
      </c>
    </row>
    <row r="74" spans="1:7" x14ac:dyDescent="0.25">
      <c r="A74" t="s">
        <v>366</v>
      </c>
      <c r="B74" t="s">
        <v>367</v>
      </c>
      <c r="C74" t="s">
        <v>368</v>
      </c>
      <c r="D74" t="s">
        <v>369</v>
      </c>
      <c r="E74" t="s">
        <v>370</v>
      </c>
      <c r="F74" t="str">
        <f>IFERROR(VLOOKUP(A74,'Tham chiếu'!$A:$G,6,FALSE),"")</f>
        <v>cnbc</v>
      </c>
      <c r="G74" t="str">
        <f>IFERROR(VLOOKUP(A74,'Tham chiếu'!$A:$G,7,FALSE),"")</f>
        <v>CNBC</v>
      </c>
    </row>
    <row r="75" spans="1:7" x14ac:dyDescent="0.25">
      <c r="A75" t="s">
        <v>371</v>
      </c>
      <c r="B75" t="s">
        <v>372</v>
      </c>
      <c r="C75" t="s">
        <v>373</v>
      </c>
      <c r="D75" t="s">
        <v>374</v>
      </c>
      <c r="E75" t="s">
        <v>375</v>
      </c>
      <c r="F75" t="str">
        <f>IFERROR(VLOOKUP(A75,'Tham chiếu'!$A:$G,6,FALSE),"")</f>
        <v>history-hd</v>
      </c>
      <c r="G75" t="str">
        <f>IFERROR(VLOOKUP(A75,'Tham chiếu'!$A:$G,7,FALSE),"")</f>
        <v>History HD</v>
      </c>
    </row>
    <row r="76" spans="1:7" x14ac:dyDescent="0.25">
      <c r="A76" t="s">
        <v>376</v>
      </c>
      <c r="B76" t="s">
        <v>377</v>
      </c>
      <c r="C76" t="s">
        <v>378</v>
      </c>
      <c r="D76" t="s">
        <v>379</v>
      </c>
      <c r="E76" t="s">
        <v>380</v>
      </c>
      <c r="F76" t="str">
        <f>IFERROR(VLOOKUP(A76,'Tham chiếu'!$A:$G,6,FALSE),"")</f>
        <v>kix</v>
      </c>
      <c r="G76" t="str">
        <f>IFERROR(VLOOKUP(A76,'Tham chiếu'!$A:$G,7,FALSE),"")</f>
        <v>Kix</v>
      </c>
    </row>
    <row r="77" spans="1:7" x14ac:dyDescent="0.25">
      <c r="A77" t="s">
        <v>381</v>
      </c>
      <c r="B77" t="s">
        <v>382</v>
      </c>
      <c r="C77" t="s">
        <v>383</v>
      </c>
      <c r="D77" t="s">
        <v>384</v>
      </c>
      <c r="E77" t="s">
        <v>385</v>
      </c>
      <c r="F77" t="str">
        <f>IFERROR(VLOOKUP(A77,'Tham chiếu'!$A:$G,6,FALSE),"")</f>
        <v>france-24-sd</v>
      </c>
      <c r="G77" t="str">
        <f>IFERROR(VLOOKUP(A77,'Tham chiếu'!$A:$G,7,FALSE),"")</f>
        <v>France 24 SD</v>
      </c>
    </row>
    <row r="78" spans="1:7" x14ac:dyDescent="0.25">
      <c r="A78" t="s">
        <v>386</v>
      </c>
      <c r="B78" t="s">
        <v>387</v>
      </c>
      <c r="C78" t="s">
        <v>388</v>
      </c>
      <c r="D78" t="s">
        <v>389</v>
      </c>
      <c r="E78" t="s">
        <v>390</v>
      </c>
      <c r="F78" t="str">
        <f>IFERROR(VLOOKUP(A78,'Tham chiếu'!$A:$G,6,FALSE),"")</f>
        <v>arirang</v>
      </c>
      <c r="G78" t="str">
        <f>IFERROR(VLOOKUP(A78,'Tham chiếu'!$A:$G,7,FALSE),"")</f>
        <v>Arirang</v>
      </c>
    </row>
    <row r="79" spans="1:7" x14ac:dyDescent="0.25">
      <c r="A79" t="s">
        <v>391</v>
      </c>
      <c r="B79" t="s">
        <v>392</v>
      </c>
      <c r="C79" t="s">
        <v>393</v>
      </c>
      <c r="D79" t="s">
        <v>394</v>
      </c>
      <c r="E79" t="s">
        <v>395</v>
      </c>
      <c r="F79" t="str">
        <f>IFERROR(VLOOKUP(A79,'Tham chiếu'!$A:$G,6,FALSE),"")</f>
        <v>davinci-hd</v>
      </c>
      <c r="G79" t="str">
        <f>IFERROR(VLOOKUP(A79,'Tham chiếu'!$A:$G,7,FALSE),"")</f>
        <v>DaVinci HD</v>
      </c>
    </row>
    <row r="80" spans="1:7" x14ac:dyDescent="0.25">
      <c r="A80" t="s">
        <v>396</v>
      </c>
      <c r="B80" t="s">
        <v>397</v>
      </c>
      <c r="C80" t="s">
        <v>398</v>
      </c>
      <c r="D80" t="s">
        <v>399</v>
      </c>
      <c r="E80" t="s">
        <v>400</v>
      </c>
      <c r="F80" t="str">
        <f>IFERROR(VLOOKUP(A80,'Tham chiếu'!$A:$G,6,FALSE),"")</f>
        <v>vinh-long-1</v>
      </c>
      <c r="G80" t="str">
        <f>IFERROR(VLOOKUP(A80,'Tham chiếu'!$A:$G,7,FALSE),"")</f>
        <v>Vĩnh Long 1</v>
      </c>
    </row>
    <row r="81" spans="1:7" x14ac:dyDescent="0.25">
      <c r="A81" t="s">
        <v>401</v>
      </c>
      <c r="B81" t="s">
        <v>402</v>
      </c>
      <c r="C81" t="s">
        <v>403</v>
      </c>
      <c r="D81" t="s">
        <v>404</v>
      </c>
      <c r="E81" t="s">
        <v>405</v>
      </c>
      <c r="F81" t="str">
        <f>IFERROR(VLOOKUP(A81,'Tham chiếu'!$A:$G,6,FALSE),"")</f>
        <v>vinh-long-2</v>
      </c>
      <c r="G81" t="str">
        <f>IFERROR(VLOOKUP(A81,'Tham chiếu'!$A:$G,7,FALSE),"")</f>
        <v>Vĩnh Long 2</v>
      </c>
    </row>
    <row r="82" spans="1:7" x14ac:dyDescent="0.25">
      <c r="A82" t="s">
        <v>406</v>
      </c>
      <c r="B82" t="s">
        <v>407</v>
      </c>
      <c r="C82" t="s">
        <v>408</v>
      </c>
      <c r="D82" t="s">
        <v>409</v>
      </c>
      <c r="E82" t="s">
        <v>410</v>
      </c>
      <c r="F82" t="str">
        <f>IFERROR(VLOOKUP(A82,'Tham chiếu'!$A:$G,6,FALSE),"")</f>
        <v>vinh-long-3</v>
      </c>
      <c r="G82" t="str">
        <f>IFERROR(VLOOKUP(A82,'Tham chiếu'!$A:$G,7,FALSE),"")</f>
        <v>Vĩnh Long 3</v>
      </c>
    </row>
    <row r="83" spans="1:7" x14ac:dyDescent="0.25">
      <c r="A83" t="s">
        <v>411</v>
      </c>
      <c r="B83" t="s">
        <v>412</v>
      </c>
      <c r="C83" t="s">
        <v>413</v>
      </c>
      <c r="D83" t="s">
        <v>414</v>
      </c>
      <c r="E83" t="s">
        <v>415</v>
      </c>
      <c r="F83" t="str">
        <f>IFERROR(VLOOKUP(A83,'Tham chiếu'!$A:$G,6,FALSE),"")</f>
        <v>vinh-long-4</v>
      </c>
      <c r="G83" t="str">
        <f>IFERROR(VLOOKUP(A83,'Tham chiếu'!$A:$G,7,FALSE),"")</f>
        <v>Vĩnh Long 4</v>
      </c>
    </row>
    <row r="84" spans="1:7" x14ac:dyDescent="0.25">
      <c r="A84" t="s">
        <v>416</v>
      </c>
      <c r="B84" t="s">
        <v>417</v>
      </c>
      <c r="C84" t="s">
        <v>418</v>
      </c>
      <c r="D84" t="s">
        <v>419</v>
      </c>
      <c r="E84" t="s">
        <v>420</v>
      </c>
      <c r="F84" t="str">
        <f>IFERROR(VLOOKUP(A84,'Tham chiếu'!$A:$G,6,FALSE),"")</f>
        <v>vinh-long-5</v>
      </c>
      <c r="G84" t="str">
        <f>IFERROR(VLOOKUP(A84,'Tham chiếu'!$A:$G,7,FALSE),"")</f>
        <v>Vĩnh Long 5</v>
      </c>
    </row>
    <row r="85" spans="1:7" x14ac:dyDescent="0.25">
      <c r="A85" t="s">
        <v>421</v>
      </c>
      <c r="B85" t="s">
        <v>422</v>
      </c>
      <c r="C85" t="s">
        <v>423</v>
      </c>
      <c r="D85" t="s">
        <v>424</v>
      </c>
      <c r="E85" t="s">
        <v>425</v>
      </c>
      <c r="F85" t="str">
        <f>IFERROR(VLOOKUP(A85,'Tham chiếu'!$A:$G,6,FALSE),"")</f>
        <v>htv1</v>
      </c>
      <c r="G85" t="str">
        <f>IFERROR(VLOOKUP(A85,'Tham chiếu'!$A:$G,7,FALSE),"")</f>
        <v>HTV1</v>
      </c>
    </row>
    <row r="86" spans="1:7" x14ac:dyDescent="0.25">
      <c r="A86" t="s">
        <v>426</v>
      </c>
      <c r="B86" t="s">
        <v>427</v>
      </c>
      <c r="C86" t="s">
        <v>428</v>
      </c>
      <c r="D86" t="s">
        <v>429</v>
      </c>
      <c r="E86" t="s">
        <v>430</v>
      </c>
      <c r="F86" t="str">
        <f>IFERROR(VLOOKUP(A86,'Tham chiếu'!$A:$G,6,FALSE),"")</f>
        <v>htv2</v>
      </c>
      <c r="G86" t="str">
        <f>IFERROR(VLOOKUP(A86,'Tham chiếu'!$A:$G,7,FALSE),"")</f>
        <v>HTV2</v>
      </c>
    </row>
    <row r="87" spans="1:7" x14ac:dyDescent="0.25">
      <c r="A87" t="s">
        <v>431</v>
      </c>
      <c r="B87" t="s">
        <v>432</v>
      </c>
      <c r="C87" t="s">
        <v>433</v>
      </c>
      <c r="D87" t="s">
        <v>434</v>
      </c>
      <c r="E87" t="s">
        <v>435</v>
      </c>
      <c r="F87" t="str">
        <f>IFERROR(VLOOKUP(A87,'Tham chiếu'!$A:$G,6,FALSE),"")</f>
        <v>htv3</v>
      </c>
      <c r="G87" t="str">
        <f>IFERROR(VLOOKUP(A87,'Tham chiếu'!$A:$G,7,FALSE),"")</f>
        <v>HTV3</v>
      </c>
    </row>
    <row r="88" spans="1:7" x14ac:dyDescent="0.25">
      <c r="A88" t="s">
        <v>436</v>
      </c>
      <c r="B88" t="s">
        <v>437</v>
      </c>
      <c r="C88" t="s">
        <v>438</v>
      </c>
      <c r="D88" t="s">
        <v>439</v>
      </c>
      <c r="E88" t="s">
        <v>440</v>
      </c>
      <c r="F88" t="str">
        <f>IFERROR(VLOOKUP(A88,'Tham chiếu'!$A:$G,6,FALSE),"")</f>
        <v>htv4</v>
      </c>
      <c r="G88" t="str">
        <f>IFERROR(VLOOKUP(A88,'Tham chiếu'!$A:$G,7,FALSE),"")</f>
        <v>HTV4</v>
      </c>
    </row>
    <row r="89" spans="1:7" x14ac:dyDescent="0.25">
      <c r="A89" t="s">
        <v>441</v>
      </c>
      <c r="B89" t="s">
        <v>442</v>
      </c>
      <c r="C89" t="s">
        <v>443</v>
      </c>
      <c r="D89" t="s">
        <v>444</v>
      </c>
      <c r="E89" t="s">
        <v>445</v>
      </c>
      <c r="F89" t="str">
        <f>IFERROR(VLOOKUP(A89,'Tham chiếu'!$A:$G,6,FALSE),"")</f>
        <v>htv7-hd</v>
      </c>
      <c r="G89" t="str">
        <f>IFERROR(VLOOKUP(A89,'Tham chiếu'!$A:$G,7,FALSE),"")</f>
        <v>HTV7 HD</v>
      </c>
    </row>
    <row r="90" spans="1:7" x14ac:dyDescent="0.25">
      <c r="A90" t="s">
        <v>446</v>
      </c>
      <c r="B90" t="s">
        <v>447</v>
      </c>
      <c r="C90" t="s">
        <v>448</v>
      </c>
      <c r="D90" t="s">
        <v>449</v>
      </c>
      <c r="E90" t="s">
        <v>450</v>
      </c>
      <c r="F90" t="str">
        <f>IFERROR(VLOOKUP(A90,'Tham chiếu'!$A:$G,6,FALSE),"")</f>
        <v>htv9-hd</v>
      </c>
      <c r="G90" t="str">
        <f>IFERROR(VLOOKUP(A90,'Tham chiếu'!$A:$G,7,FALSE),"")</f>
        <v>HTV9 HD</v>
      </c>
    </row>
    <row r="91" spans="1:7" x14ac:dyDescent="0.25">
      <c r="A91" t="s">
        <v>451</v>
      </c>
      <c r="B91" t="s">
        <v>452</v>
      </c>
      <c r="C91" t="s">
        <v>453</v>
      </c>
      <c r="D91" t="s">
        <v>454</v>
      </c>
      <c r="E91" t="s">
        <v>455</v>
      </c>
      <c r="F91" t="str">
        <f>IFERROR(VLOOKUP(A91,'Tham chiếu'!$A:$G,6,FALSE),"")</f>
        <v>htv-the-thao</v>
      </c>
      <c r="G91" t="str">
        <f>IFERROR(VLOOKUP(A91,'Tham chiếu'!$A:$G,7,FALSE),"")</f>
        <v>HTV Thể Thao</v>
      </c>
    </row>
    <row r="92" spans="1:7" x14ac:dyDescent="0.25">
      <c r="A92" t="s">
        <v>456</v>
      </c>
      <c r="B92" t="s">
        <v>457</v>
      </c>
      <c r="C92" t="s">
        <v>458</v>
      </c>
      <c r="D92" t="s">
        <v>459</v>
      </c>
      <c r="E92" t="s">
        <v>460</v>
      </c>
      <c r="F92" t="str">
        <f>IFERROR(VLOOKUP(A92,'Tham chiếu'!$A:$G,6,FALSE),"")</f>
        <v>htvc-gia-dinh</v>
      </c>
      <c r="G92" t="str">
        <f>IFERROR(VLOOKUP(A92,'Tham chiếu'!$A:$G,7,FALSE),"")</f>
        <v>HTVC gia đình</v>
      </c>
    </row>
    <row r="93" spans="1:7" x14ac:dyDescent="0.25">
      <c r="A93" t="s">
        <v>461</v>
      </c>
      <c r="B93" t="s">
        <v>462</v>
      </c>
      <c r="C93" t="s">
        <v>463</v>
      </c>
      <c r="D93" t="s">
        <v>464</v>
      </c>
      <c r="E93" t="s">
        <v>465</v>
      </c>
      <c r="F93" t="str">
        <f>IFERROR(VLOOKUP(A93,'Tham chiếu'!$A:$G,6,FALSE),"")</f>
        <v>htvc-phu-nu</v>
      </c>
      <c r="G93" t="str">
        <f>IFERROR(VLOOKUP(A93,'Tham chiếu'!$A:$G,7,FALSE),"")</f>
        <v>HTVC phụ Nữ</v>
      </c>
    </row>
    <row r="94" spans="1:7" x14ac:dyDescent="0.25">
      <c r="A94" t="s">
        <v>466</v>
      </c>
      <c r="B94" t="s">
        <v>467</v>
      </c>
      <c r="C94" t="s">
        <v>468</v>
      </c>
      <c r="D94" t="s">
        <v>469</v>
      </c>
      <c r="E94" t="s">
        <v>470</v>
      </c>
      <c r="F94" t="str">
        <f>IFERROR(VLOOKUP(A94,'Tham chiếu'!$A:$G,6,FALSE),"")</f>
        <v>htvc-thuan-viet</v>
      </c>
      <c r="G94" t="str">
        <f>IFERROR(VLOOKUP(A94,'Tham chiếu'!$A:$G,7,FALSE),"")</f>
        <v>HTVC thuần việt</v>
      </c>
    </row>
    <row r="95" spans="1:7" x14ac:dyDescent="0.25">
      <c r="A95" t="s">
        <v>471</v>
      </c>
      <c r="B95" t="s">
        <v>472</v>
      </c>
      <c r="C95" t="s">
        <v>473</v>
      </c>
      <c r="D95" t="s">
        <v>474</v>
      </c>
      <c r="E95" t="s">
        <v>475</v>
      </c>
      <c r="F95" t="str">
        <f>IFERROR(VLOOKUP(A95,'Tham chiếu'!$A:$G,6,FALSE),"")</f>
        <v>htvc-phim-truyen-hd</v>
      </c>
      <c r="G95" t="str">
        <f>IFERROR(VLOOKUP(A95,'Tham chiếu'!$A:$G,7,FALSE),"")</f>
        <v>HTVC phim truyện HD</v>
      </c>
    </row>
    <row r="96" spans="1:7" x14ac:dyDescent="0.25">
      <c r="A96" t="s">
        <v>476</v>
      </c>
      <c r="B96" t="s">
        <v>477</v>
      </c>
      <c r="C96" t="s">
        <v>478</v>
      </c>
      <c r="D96" t="s">
        <v>479</v>
      </c>
      <c r="E96" t="s">
        <v>480</v>
      </c>
      <c r="F96" t="str">
        <f>IFERROR(VLOOKUP(A96,'Tham chiếu'!$A:$G,6,FALSE),"")</f>
        <v>htvc-ca-nhac</v>
      </c>
      <c r="G96" t="str">
        <f>IFERROR(VLOOKUP(A96,'Tham chiếu'!$A:$G,7,FALSE),"")</f>
        <v>HTVC ca nhạc</v>
      </c>
    </row>
    <row r="97" spans="1:7" x14ac:dyDescent="0.25">
      <c r="A97" t="s">
        <v>481</v>
      </c>
      <c r="B97" t="s">
        <v>482</v>
      </c>
      <c r="C97" t="s">
        <v>483</v>
      </c>
      <c r="D97" t="s">
        <v>484</v>
      </c>
      <c r="E97" t="s">
        <v>485</v>
      </c>
      <c r="F97" t="str">
        <f>IFERROR(VLOOKUP(A97,'Tham chiếu'!$A:$G,6,FALSE),"")</f>
        <v>htvc</v>
      </c>
      <c r="G97" t="str">
        <f>IFERROR(VLOOKUP(A97,'Tham chiếu'!$A:$G,7,FALSE),"")</f>
        <v>HTVC+ Channel B</v>
      </c>
    </row>
    <row r="98" spans="1:7" x14ac:dyDescent="0.25">
      <c r="A98" t="s">
        <v>486</v>
      </c>
      <c r="B98" t="s">
        <v>487</v>
      </c>
      <c r="C98" t="s">
        <v>488</v>
      </c>
      <c r="D98" t="s">
        <v>489</v>
      </c>
      <c r="E98" t="s">
        <v>490</v>
      </c>
      <c r="F98" t="str">
        <f>IFERROR(VLOOKUP(A98,'Tham chiếu'!$A:$G,6,FALSE),"")</f>
        <v>htvc-du-lich-cuoc-song</v>
      </c>
      <c r="G98" t="str">
        <f>IFERROR(VLOOKUP(A98,'Tham chiếu'!$A:$G,7,FALSE),"")</f>
        <v>HTVC du lịch &amp; cuộc sống</v>
      </c>
    </row>
    <row r="99" spans="1:7" x14ac:dyDescent="0.25">
      <c r="A99" t="s">
        <v>491</v>
      </c>
      <c r="B99" t="s">
        <v>492</v>
      </c>
      <c r="C99" t="s">
        <v>493</v>
      </c>
      <c r="D99" t="s">
        <v>494</v>
      </c>
      <c r="E99" t="s">
        <v>495</v>
      </c>
      <c r="F99" t="str">
        <f>IFERROR(VLOOKUP(A99,'Tham chiếu'!$A:$G,6,FALSE),"")</f>
        <v>an-vien-hd</v>
      </c>
      <c r="G99" t="str">
        <f>IFERROR(VLOOKUP(A99,'Tham chiếu'!$A:$G,7,FALSE),"")</f>
        <v>An Viên HD</v>
      </c>
    </row>
    <row r="100" spans="1:7" x14ac:dyDescent="0.25">
      <c r="A100" t="s">
        <v>496</v>
      </c>
      <c r="B100" t="s">
        <v>497</v>
      </c>
      <c r="C100" t="s">
        <v>498</v>
      </c>
      <c r="D100" t="s">
        <v>499</v>
      </c>
      <c r="E100" t="s">
        <v>500</v>
      </c>
      <c r="F100" t="str">
        <f>IFERROR(VLOOKUP(A100,'Tham chiếu'!$A:$G,6,FALSE),"")</f>
        <v>fm90</v>
      </c>
      <c r="G100" t="str">
        <f>IFERROR(VLOOKUP(A100,'Tham chiếu'!$A:$G,7,FALSE),"")</f>
        <v>FM90</v>
      </c>
    </row>
    <row r="101" spans="1:7" x14ac:dyDescent="0.25">
      <c r="A101" t="s">
        <v>501</v>
      </c>
      <c r="B101" t="s">
        <v>502</v>
      </c>
      <c r="C101" t="s">
        <v>503</v>
      </c>
      <c r="D101" t="s">
        <v>504</v>
      </c>
      <c r="E101" t="s">
        <v>505</v>
      </c>
      <c r="F101" t="str">
        <f>IFERROR(VLOOKUP(A101,'Tham chiếu'!$A:$G,6,FALSE),"")</f>
        <v>fm96</v>
      </c>
      <c r="G101" t="str">
        <f>IFERROR(VLOOKUP(A101,'Tham chiếu'!$A:$G,7,FALSE),"")</f>
        <v>FM96</v>
      </c>
    </row>
    <row r="102" spans="1:7" x14ac:dyDescent="0.25">
      <c r="A102" t="s">
        <v>506</v>
      </c>
      <c r="B102" t="s">
        <v>507</v>
      </c>
      <c r="C102" t="s">
        <v>508</v>
      </c>
      <c r="D102" t="s">
        <v>509</v>
      </c>
      <c r="E102" t="s">
        <v>510</v>
      </c>
      <c r="F102" t="str">
        <f>IFERROR(VLOOKUP(A102,'Tham chiếu'!$A:$G,6,FALSE),"")</f>
        <v>voh-am610</v>
      </c>
      <c r="G102" t="str">
        <f>IFERROR(VLOOKUP(A102,'Tham chiếu'!$A:$G,7,FALSE),"")</f>
        <v>VOH AM610</v>
      </c>
    </row>
    <row r="103" spans="1:7" x14ac:dyDescent="0.25">
      <c r="A103" t="s">
        <v>511</v>
      </c>
      <c r="B103" t="s">
        <v>512</v>
      </c>
      <c r="C103" t="s">
        <v>513</v>
      </c>
      <c r="D103" t="s">
        <v>514</v>
      </c>
      <c r="E103" t="s">
        <v>515</v>
      </c>
      <c r="F103" t="str">
        <f>IFERROR(VLOOKUP(A103,'Tham chiếu'!$A:$G,6,FALSE),"")</f>
        <v>voh-fm99</v>
      </c>
      <c r="G103" t="str">
        <f>IFERROR(VLOOKUP(A103,'Tham chiếu'!$A:$G,7,FALSE),"")</f>
        <v>VOH FM99</v>
      </c>
    </row>
    <row r="104" spans="1:7" x14ac:dyDescent="0.25">
      <c r="A104" t="s">
        <v>516</v>
      </c>
      <c r="B104" t="s">
        <v>517</v>
      </c>
      <c r="C104" t="s">
        <v>518</v>
      </c>
      <c r="D104" t="s">
        <v>519</v>
      </c>
      <c r="E104" t="s">
        <v>520</v>
      </c>
      <c r="F104" t="str">
        <f>IFERROR(VLOOKUP(A104,'Tham chiếu'!$A:$G,6,FALSE),"")</f>
        <v>voh-fm87</v>
      </c>
      <c r="G104" t="str">
        <f>IFERROR(VLOOKUP(A104,'Tham chiếu'!$A:$G,7,FALSE),"")</f>
        <v>VOH FM87</v>
      </c>
    </row>
    <row r="105" spans="1:7" x14ac:dyDescent="0.25">
      <c r="A105" t="s">
        <v>521</v>
      </c>
      <c r="B105" t="s">
        <v>522</v>
      </c>
      <c r="C105" t="s">
        <v>523</v>
      </c>
      <c r="D105" t="s">
        <v>524</v>
      </c>
      <c r="E105" t="s">
        <v>525</v>
      </c>
      <c r="F105" t="str">
        <f>IFERROR(VLOOKUP(A105,'Tham chiếu'!$A:$G,6,FALSE),"")</f>
        <v>voh-fm95</v>
      </c>
      <c r="G105" t="str">
        <f>IFERROR(VLOOKUP(A105,'Tham chiếu'!$A:$G,7,FALSE),"")</f>
        <v>VOH FM95</v>
      </c>
    </row>
    <row r="106" spans="1:7" x14ac:dyDescent="0.25">
      <c r="A106" t="s">
        <v>526</v>
      </c>
      <c r="B106" t="s">
        <v>527</v>
      </c>
      <c r="C106" t="s">
        <v>528</v>
      </c>
      <c r="D106" t="s">
        <v>529</v>
      </c>
      <c r="E106" t="s">
        <v>530</v>
      </c>
      <c r="F106" t="str">
        <f>IFERROR(VLOOKUP(A106,'Tham chiếu'!$A:$G,6,FALSE),"")</f>
        <v>voh-fm92-radio</v>
      </c>
      <c r="G106" t="str">
        <f>IFERROR(VLOOKUP(A106,'Tham chiếu'!$A:$G,7,FALSE),"")</f>
        <v>VOH FM92 Radio</v>
      </c>
    </row>
    <row r="107" spans="1:7" x14ac:dyDescent="0.25">
      <c r="A107" t="s">
        <v>531</v>
      </c>
      <c r="B107" t="s">
        <v>532</v>
      </c>
      <c r="C107" t="s">
        <v>533</v>
      </c>
      <c r="D107" t="s">
        <v>534</v>
      </c>
      <c r="E107" t="s">
        <v>535</v>
      </c>
      <c r="F107" t="str">
        <f>IFERROR(VLOOKUP(A107,'Tham chiếu'!$A:$G,6,FALSE),"")</f>
        <v>sctv6</v>
      </c>
      <c r="G107" t="str">
        <f>IFERROR(VLOOKUP(A107,'Tham chiếu'!$A:$G,7,FALSE),"")</f>
        <v>SCTV6</v>
      </c>
    </row>
    <row r="108" spans="1:7" x14ac:dyDescent="0.25">
      <c r="A108" t="s">
        <v>536</v>
      </c>
      <c r="B108" t="s">
        <v>537</v>
      </c>
      <c r="C108" t="s">
        <v>538</v>
      </c>
      <c r="D108" t="s">
        <v>539</v>
      </c>
      <c r="E108" t="s">
        <v>540</v>
      </c>
      <c r="F108" t="str">
        <f>IFERROR(VLOOKUP(A108,'Tham chiếu'!$A:$G,6,FALSE),"")</f>
        <v>sctv2-today-tv</v>
      </c>
      <c r="G108" t="str">
        <f>IFERROR(VLOOKUP(A108,'Tham chiếu'!$A:$G,7,FALSE),"")</f>
        <v>SCTV2 - Today TV</v>
      </c>
    </row>
    <row r="109" spans="1:7" x14ac:dyDescent="0.25">
      <c r="A109" t="s">
        <v>541</v>
      </c>
      <c r="B109" t="s">
        <v>542</v>
      </c>
      <c r="C109" t="s">
        <v>543</v>
      </c>
      <c r="D109" t="s">
        <v>544</v>
      </c>
      <c r="E109" t="s">
        <v>545</v>
      </c>
      <c r="F109" t="str">
        <f>IFERROR(VLOOKUP(A109,'Tham chiếu'!$A:$G,6,FALSE),"")</f>
        <v>vtvcab-16-hd</v>
      </c>
      <c r="G109" t="str">
        <f>IFERROR(VLOOKUP(A109,'Tham chiếu'!$A:$G,7,FALSE),"")</f>
        <v>VTVcab 16 - On Football HD</v>
      </c>
    </row>
    <row r="110" spans="1:7" x14ac:dyDescent="0.25">
      <c r="A110" t="s">
        <v>546</v>
      </c>
      <c r="B110" t="s">
        <v>547</v>
      </c>
      <c r="C110" t="s">
        <v>548</v>
      </c>
      <c r="D110" t="s">
        <v>549</v>
      </c>
      <c r="E110" t="s">
        <v>550</v>
      </c>
      <c r="F110" t="str">
        <f>IFERROR(VLOOKUP(A110,'Tham chiếu'!$A:$G,6,FALSE),"")</f>
        <v>vtvcab-3-on-sports</v>
      </c>
      <c r="G110" t="str">
        <f>IFERROR(VLOOKUP(A110,'Tham chiếu'!$A:$G,7,FALSE),"")</f>
        <v>VTVcab 3 - On Sports</v>
      </c>
    </row>
    <row r="111" spans="1:7" x14ac:dyDescent="0.25">
      <c r="A111" t="s">
        <v>551</v>
      </c>
      <c r="B111" t="s">
        <v>552</v>
      </c>
      <c r="C111" t="s">
        <v>553</v>
      </c>
      <c r="D111" t="s">
        <v>554</v>
      </c>
      <c r="E111" t="s">
        <v>555</v>
      </c>
      <c r="F111" t="str">
        <f>IFERROR(VLOOKUP(A111,'Tham chiếu'!$A:$G,6,FALSE),"")</f>
        <v>vtvcab-18-on-sports-news</v>
      </c>
      <c r="G111" t="str">
        <f>IFERROR(VLOOKUP(A111,'Tham chiếu'!$A:$G,7,FALSE),"")</f>
        <v>VTVcab 18 - On Sports News</v>
      </c>
    </row>
    <row r="112" spans="1:7" x14ac:dyDescent="0.25">
      <c r="A112" t="s">
        <v>556</v>
      </c>
      <c r="B112" t="s">
        <v>557</v>
      </c>
      <c r="C112" t="s">
        <v>558</v>
      </c>
      <c r="D112" t="s">
        <v>559</v>
      </c>
      <c r="E112" t="s">
        <v>560</v>
      </c>
      <c r="F112" t="str">
        <f>IFERROR(VLOOKUP(A112,'Tham chiếu'!$A:$G,6,FALSE),"")</f>
        <v>vtvcab-23-golf-channel</v>
      </c>
      <c r="G112" t="str">
        <f>IFERROR(VLOOKUP(A112,'Tham chiếu'!$A:$G,7,FALSE),"")</f>
        <v>VTVcab 23 - Golf Channel</v>
      </c>
    </row>
    <row r="113" spans="1:7" x14ac:dyDescent="0.25">
      <c r="A113" t="s">
        <v>561</v>
      </c>
      <c r="B113" t="s">
        <v>562</v>
      </c>
      <c r="C113" t="s">
        <v>563</v>
      </c>
      <c r="D113" t="s">
        <v>564</v>
      </c>
      <c r="E113" t="s">
        <v>565</v>
      </c>
      <c r="F113" t="str">
        <f>IFERROR(VLOOKUP(A113,'Tham chiếu'!$A:$G,6,FALSE),"")</f>
        <v>vtvcab-6-on-sports</v>
      </c>
      <c r="G113" t="str">
        <f>IFERROR(VLOOKUP(A113,'Tham chiếu'!$A:$G,7,FALSE),"")</f>
        <v>VTVcab 6 - On Sports +</v>
      </c>
    </row>
    <row r="114" spans="1:7" x14ac:dyDescent="0.25">
      <c r="A114" t="s">
        <v>566</v>
      </c>
      <c r="B114" t="s">
        <v>567</v>
      </c>
      <c r="C114" t="s">
        <v>568</v>
      </c>
      <c r="D114" t="s">
        <v>569</v>
      </c>
      <c r="E114" t="s">
        <v>570</v>
      </c>
      <c r="F114" t="str">
        <f>IFERROR(VLOOKUP(A114,'Tham chiếu'!$A:$G,6,FALSE),"")</f>
        <v>vtvcab-1-vie-giai-tri-hd</v>
      </c>
      <c r="G114" t="str">
        <f>IFERROR(VLOOKUP(A114,'Tham chiếu'!$A:$G,7,FALSE),"")</f>
        <v>VTVcab 1 - Vie Giải Trí HD</v>
      </c>
    </row>
    <row r="115" spans="1:7" x14ac:dyDescent="0.25">
      <c r="A115" t="s">
        <v>571</v>
      </c>
      <c r="B115" t="s">
        <v>572</v>
      </c>
      <c r="C115" t="s">
        <v>573</v>
      </c>
      <c r="D115" t="s">
        <v>574</v>
      </c>
      <c r="E115" t="s">
        <v>575</v>
      </c>
      <c r="F115" t="str">
        <f>IFERROR(VLOOKUP(A115,'Tham chiếu'!$A:$G,6,FALSE),"")</f>
        <v>vtvcab-2-phim-viet-hd</v>
      </c>
      <c r="G115" t="str">
        <f>IFERROR(VLOOKUP(A115,'Tham chiếu'!$A:$G,7,FALSE),"")</f>
        <v>VTVcab 2 - Phim Việt HD</v>
      </c>
    </row>
    <row r="116" spans="1:7" x14ac:dyDescent="0.25">
      <c r="A116" t="s">
        <v>576</v>
      </c>
      <c r="B116" t="s">
        <v>577</v>
      </c>
      <c r="C116" t="s">
        <v>578</v>
      </c>
      <c r="D116" t="s">
        <v>579</v>
      </c>
      <c r="E116" t="s">
        <v>580</v>
      </c>
      <c r="F116" t="str">
        <f>IFERROR(VLOOKUP(A116,'Tham chiếu'!$A:$G,6,FALSE),"")</f>
        <v>vtvcab10-on-cine-hd</v>
      </c>
      <c r="G116" t="str">
        <f>IFERROR(VLOOKUP(A116,'Tham chiếu'!$A:$G,7,FALSE),"")</f>
        <v>VTVcab10 - On Cine HD</v>
      </c>
    </row>
    <row r="117" spans="1:7" x14ac:dyDescent="0.25">
      <c r="A117" t="s">
        <v>581</v>
      </c>
      <c r="B117" t="s">
        <v>582</v>
      </c>
      <c r="C117" t="s">
        <v>583</v>
      </c>
      <c r="D117" t="s">
        <v>584</v>
      </c>
      <c r="E117" t="s">
        <v>585</v>
      </c>
      <c r="F117" t="str">
        <f>IFERROR(VLOOKUP(A117,'Tham chiếu'!$A:$G,6,FALSE),"")</f>
        <v>vtvcab19-vie-dramas</v>
      </c>
      <c r="G117" t="str">
        <f>IFERROR(VLOOKUP(A117,'Tham chiếu'!$A:$G,7,FALSE),"")</f>
        <v>VTVcab19 – Vie Dramas</v>
      </c>
    </row>
    <row r="118" spans="1:7" x14ac:dyDescent="0.25">
      <c r="A118" t="s">
        <v>586</v>
      </c>
      <c r="B118" t="s">
        <v>587</v>
      </c>
      <c r="C118" t="s">
        <v>588</v>
      </c>
      <c r="D118" t="s">
        <v>589</v>
      </c>
      <c r="E118" t="s">
        <v>590</v>
      </c>
      <c r="F118" t="str">
        <f>IFERROR(VLOOKUP(A118,'Tham chiếu'!$A:$G,6,FALSE),"")</f>
        <v>vtvcab-8-bi-bi-sd</v>
      </c>
      <c r="G118" t="str">
        <f>IFERROR(VLOOKUP(A118,'Tham chiếu'!$A:$G,7,FALSE),"")</f>
        <v>VTVcab 8 Bibi SD</v>
      </c>
    </row>
    <row r="119" spans="1:7" x14ac:dyDescent="0.25">
      <c r="A119" t="s">
        <v>591</v>
      </c>
      <c r="B119" t="s">
        <v>592</v>
      </c>
      <c r="C119" t="s">
        <v>593</v>
      </c>
      <c r="D119" t="s">
        <v>594</v>
      </c>
      <c r="E119" t="s">
        <v>595</v>
      </c>
      <c r="F119" t="str">
        <f>IFERROR(VLOOKUP(A119,'Tham chiếu'!$A:$G,6,FALSE),"")</f>
        <v>vtvcab-21-cartoon-kids-hd</v>
      </c>
      <c r="G119" t="str">
        <f>IFERROR(VLOOKUP(A119,'Tham chiếu'!$A:$G,7,FALSE),"")</f>
        <v>VTVcab 21- Cartoon Kids HD</v>
      </c>
    </row>
    <row r="120" spans="1:7" x14ac:dyDescent="0.25">
      <c r="A120" t="s">
        <v>596</v>
      </c>
      <c r="B120" t="s">
        <v>597</v>
      </c>
      <c r="C120" t="s">
        <v>598</v>
      </c>
      <c r="D120" t="s">
        <v>599</v>
      </c>
      <c r="E120" t="s">
        <v>600</v>
      </c>
      <c r="F120" t="str">
        <f>IFERROR(VLOOKUP(A120,'Tham chiếu'!$A:$G,6,FALSE),"")</f>
        <v>vtvcab-4-on-movies</v>
      </c>
      <c r="G120" t="str">
        <f>IFERROR(VLOOKUP(A120,'Tham chiếu'!$A:$G,7,FALSE),"")</f>
        <v>Vtvcab 4 – On Movies</v>
      </c>
    </row>
    <row r="121" spans="1:7" x14ac:dyDescent="0.25">
      <c r="A121" t="s">
        <v>601</v>
      </c>
      <c r="B121" t="s">
        <v>602</v>
      </c>
      <c r="C121" t="s">
        <v>603</v>
      </c>
      <c r="D121" t="s">
        <v>604</v>
      </c>
      <c r="E121" t="s">
        <v>605</v>
      </c>
      <c r="F121" t="str">
        <f>IFERROR(VLOOKUP(A121,'Tham chiếu'!$A:$G,6,FALSE),"")</f>
        <v>vtvcab-5-e-channel-hd</v>
      </c>
      <c r="G121" t="str">
        <f>IFERROR(VLOOKUP(A121,'Tham chiếu'!$A:$G,7,FALSE),"")</f>
        <v>VTVcab 5 - E Channel HD</v>
      </c>
    </row>
    <row r="122" spans="1:7" x14ac:dyDescent="0.25">
      <c r="A122" t="s">
        <v>606</v>
      </c>
      <c r="B122" t="s">
        <v>607</v>
      </c>
      <c r="C122" t="s">
        <v>608</v>
      </c>
      <c r="D122" t="s">
        <v>609</v>
      </c>
      <c r="E122" t="s">
        <v>610</v>
      </c>
      <c r="F122" t="str">
        <f>IFERROR(VLOOKUP(A122,'Tham chiếu'!$A:$G,6,FALSE),"")</f>
        <v>vtvcab-12-styletv-hd</v>
      </c>
      <c r="G122" t="str">
        <f>IFERROR(VLOOKUP(A122,'Tham chiếu'!$A:$G,7,FALSE),"")</f>
        <v>VTVcab 12 - StyleTV HD</v>
      </c>
    </row>
    <row r="123" spans="1:7" x14ac:dyDescent="0.25">
      <c r="A123" t="s">
        <v>611</v>
      </c>
      <c r="B123" t="s">
        <v>612</v>
      </c>
      <c r="C123" t="s">
        <v>613</v>
      </c>
      <c r="D123" t="s">
        <v>614</v>
      </c>
      <c r="E123" t="s">
        <v>615</v>
      </c>
      <c r="F123" t="str">
        <f>IFERROR(VLOOKUP(A123,'Tham chiếu'!$A:$G,6,FALSE),"")</f>
        <v>vtvcab15-on-music</v>
      </c>
      <c r="G123" t="str">
        <f>IFERROR(VLOOKUP(A123,'Tham chiếu'!$A:$G,7,FALSE),"")</f>
        <v>VTVcab15 – On Music</v>
      </c>
    </row>
    <row r="124" spans="1:7" x14ac:dyDescent="0.25">
      <c r="A124" t="s">
        <v>616</v>
      </c>
      <c r="B124" t="s">
        <v>617</v>
      </c>
      <c r="C124" t="s">
        <v>618</v>
      </c>
      <c r="D124" t="s">
        <v>619</v>
      </c>
      <c r="E124" t="s">
        <v>620</v>
      </c>
      <c r="F124" t="str">
        <f>IFERROR(VLOOKUP(A124,'Tham chiếu'!$A:$G,6,FALSE),"")</f>
        <v>vtvcab17-trending-tv</v>
      </c>
      <c r="G124" t="str">
        <f>IFERROR(VLOOKUP(A124,'Tham chiếu'!$A:$G,7,FALSE),"")</f>
        <v>Vtvcab17 – Trending TV</v>
      </c>
    </row>
    <row r="125" spans="1:7" x14ac:dyDescent="0.25">
      <c r="A125" t="s">
        <v>621</v>
      </c>
      <c r="B125" t="s">
        <v>622</v>
      </c>
      <c r="C125" t="s">
        <v>623</v>
      </c>
      <c r="D125" t="s">
        <v>624</v>
      </c>
      <c r="E125" t="s">
        <v>625</v>
      </c>
      <c r="F125" t="str">
        <f>IFERROR(VLOOKUP(A125,'Tham chiếu'!$A:$G,6,FALSE),"")</f>
        <v>vtvcab-20-v-family-hd</v>
      </c>
      <c r="G125" t="str">
        <f>IFERROR(VLOOKUP(A125,'Tham chiếu'!$A:$G,7,FALSE),"")</f>
        <v>VTVcab 20 - V Family HD</v>
      </c>
    </row>
    <row r="126" spans="1:7" x14ac:dyDescent="0.25">
      <c r="A126" t="s">
        <v>626</v>
      </c>
      <c r="B126" t="s">
        <v>627</v>
      </c>
      <c r="C126" t="s">
        <v>628</v>
      </c>
      <c r="D126" t="s">
        <v>629</v>
      </c>
      <c r="E126" t="s">
        <v>630</v>
      </c>
      <c r="F126" t="str">
        <f>IFERROR(VLOOKUP(A126,'Tham chiếu'!$A:$G,6,FALSE),"")</f>
        <v>vtvcab-22-life-tv-hd</v>
      </c>
      <c r="G126" t="str">
        <f>IFERROR(VLOOKUP(A126,'Tham chiếu'!$A:$G,7,FALSE),"")</f>
        <v>VTVcab 22 - Life TV HD</v>
      </c>
    </row>
    <row r="127" spans="1:7" x14ac:dyDescent="0.25">
      <c r="A127" t="s">
        <v>631</v>
      </c>
      <c r="B127" t="s">
        <v>632</v>
      </c>
      <c r="C127" t="s">
        <v>633</v>
      </c>
      <c r="D127" t="s">
        <v>634</v>
      </c>
      <c r="E127" t="s">
        <v>635</v>
      </c>
      <c r="F127" t="str">
        <f>IFERROR(VLOOKUP(A127,'Tham chiếu'!$A:$G,6,FALSE),"")</f>
        <v>vtvcab-9-infotv-hd</v>
      </c>
      <c r="G127" t="str">
        <f>IFERROR(VLOOKUP(A127,'Tham chiếu'!$A:$G,7,FALSE),"")</f>
        <v>VTVcab 9 - InfoTV HD</v>
      </c>
    </row>
    <row r="128" spans="1:7" x14ac:dyDescent="0.25">
      <c r="A128" t="s">
        <v>636</v>
      </c>
      <c r="B128" t="s">
        <v>637</v>
      </c>
      <c r="C128" t="s">
        <v>638</v>
      </c>
      <c r="D128" t="s">
        <v>639</v>
      </c>
      <c r="E128" t="s">
        <v>640</v>
      </c>
      <c r="F128" t="str">
        <f>IFERROR(VLOOKUP(A128,'Tham chiếu'!$A:$G,6,FALSE),"")</f>
        <v>o2tv</v>
      </c>
      <c r="G128" t="str">
        <f>IFERROR(VLOOKUP(A128,'Tham chiếu'!$A:$G,7,FALSE),"")</f>
        <v>O2TV</v>
      </c>
    </row>
    <row r="129" spans="1:7" x14ac:dyDescent="0.25">
      <c r="A129" t="s">
        <v>641</v>
      </c>
      <c r="B129" t="s">
        <v>642</v>
      </c>
      <c r="C129" t="s">
        <v>643</v>
      </c>
      <c r="D129" t="s">
        <v>644</v>
      </c>
      <c r="E129" t="s">
        <v>645</v>
      </c>
      <c r="F129" t="str">
        <f>IFERROR(VLOOKUP(A129,'Tham chiếu'!$A:$G,6,FALSE),"")</f>
        <v>quang-ninh-3</v>
      </c>
      <c r="G129" t="str">
        <f>IFERROR(VLOOKUP(A129,'Tham chiếu'!$A:$G,7,FALSE),"")</f>
        <v>Quảng Ninh 3</v>
      </c>
    </row>
    <row r="130" spans="1:7" x14ac:dyDescent="0.25">
      <c r="A130" t="s">
        <v>646</v>
      </c>
      <c r="B130" t="s">
        <v>647</v>
      </c>
      <c r="C130" t="s">
        <v>648</v>
      </c>
      <c r="D130" t="s">
        <v>649</v>
      </c>
      <c r="E130" t="s">
        <v>650</v>
      </c>
      <c r="F130" t="str">
        <f>IFERROR(VLOOKUP(A130,'Tham chiếu'!$A:$G,6,FALSE),"")</f>
        <v>ha-noi-1</v>
      </c>
      <c r="G130" t="str">
        <f>IFERROR(VLOOKUP(A130,'Tham chiếu'!$A:$G,7,FALSE),"")</f>
        <v>Hà Nội 1</v>
      </c>
    </row>
    <row r="131" spans="1:7" x14ac:dyDescent="0.25">
      <c r="A131" t="s">
        <v>651</v>
      </c>
      <c r="B131" t="s">
        <v>652</v>
      </c>
      <c r="C131" t="s">
        <v>653</v>
      </c>
      <c r="D131" t="s">
        <v>654</v>
      </c>
      <c r="E131" t="s">
        <v>655</v>
      </c>
      <c r="F131" t="str">
        <f>IFERROR(VLOOKUP(A131,'Tham chiếu'!$A:$G,6,FALSE),"")</f>
        <v>ha-noi-2</v>
      </c>
      <c r="G131" t="str">
        <f>IFERROR(VLOOKUP(A131,'Tham chiếu'!$A:$G,7,FALSE),"")</f>
        <v>Hà Nội 2</v>
      </c>
    </row>
    <row r="132" spans="1:7" x14ac:dyDescent="0.25">
      <c r="A132" t="s">
        <v>656</v>
      </c>
      <c r="B132" t="s">
        <v>657</v>
      </c>
      <c r="C132" t="s">
        <v>658</v>
      </c>
      <c r="D132" t="s">
        <v>659</v>
      </c>
      <c r="E132" t="s">
        <v>660</v>
      </c>
      <c r="F132" t="str">
        <f>IFERROR(VLOOKUP(A132,'Tham chiếu'!$A:$G,6,FALSE),"")</f>
        <v>an-giang-2</v>
      </c>
      <c r="G132" t="str">
        <f>IFERROR(VLOOKUP(A132,'Tham chiếu'!$A:$G,7,FALSE),"")</f>
        <v>An Giang 2</v>
      </c>
    </row>
    <row r="133" spans="1:7" x14ac:dyDescent="0.25">
      <c r="A133" t="s">
        <v>661</v>
      </c>
      <c r="B133" t="s">
        <v>662</v>
      </c>
      <c r="C133" t="s">
        <v>663</v>
      </c>
      <c r="D133" t="s">
        <v>664</v>
      </c>
      <c r="E133" t="s">
        <v>665</v>
      </c>
      <c r="F133" t="str">
        <f>IFERROR(VLOOKUP(A133,'Tham chiếu'!$A:$G,6,FALSE),"")</f>
        <v>btv6</v>
      </c>
      <c r="G133" t="str">
        <f>IFERROR(VLOOKUP(A133,'Tham chiếu'!$A:$G,7,FALSE),"")</f>
        <v>BTV6</v>
      </c>
    </row>
    <row r="134" spans="1:7" x14ac:dyDescent="0.25">
      <c r="A134" t="s">
        <v>666</v>
      </c>
      <c r="B134" t="s">
        <v>667</v>
      </c>
      <c r="C134" t="s">
        <v>668</v>
      </c>
      <c r="D134" t="s">
        <v>669</v>
      </c>
      <c r="E134" t="s">
        <v>670</v>
      </c>
      <c r="F134" t="str">
        <f>IFERROR(VLOOKUP(A134,'Tham chiếu'!$A:$G,6,FALSE),"")</f>
        <v>youtv</v>
      </c>
      <c r="G134" t="str">
        <f>IFERROR(VLOOKUP(A134,'Tham chiếu'!$A:$G,7,FALSE),"")</f>
        <v>YouTV</v>
      </c>
    </row>
    <row r="135" spans="1:7" x14ac:dyDescent="0.25">
      <c r="A135" t="s">
        <v>671</v>
      </c>
      <c r="B135" t="s">
        <v>672</v>
      </c>
      <c r="C135" t="s">
        <v>673</v>
      </c>
      <c r="D135" t="s">
        <v>674</v>
      </c>
      <c r="E135" t="s">
        <v>675</v>
      </c>
      <c r="F135" t="str">
        <f>IFERROR(VLOOKUP(A135,'Tham chiếu'!$A:$G,6,FALSE),"")</f>
        <v>hitv</v>
      </c>
      <c r="G135" t="str">
        <f>IFERROR(VLOOKUP(A135,'Tham chiếu'!$A:$G,7,FALSE),"")</f>
        <v>HITV</v>
      </c>
    </row>
    <row r="136" spans="1:7" x14ac:dyDescent="0.25">
      <c r="A136" t="s">
        <v>676</v>
      </c>
      <c r="B136" t="s">
        <v>677</v>
      </c>
      <c r="C136" t="s">
        <v>678</v>
      </c>
      <c r="D136" t="s">
        <v>679</v>
      </c>
      <c r="E136" t="s">
        <v>680</v>
      </c>
      <c r="F136" t="str">
        <f>IFERROR(VLOOKUP(A136,'Tham chiếu'!$A:$G,6,FALSE),"")</f>
        <v>bac-ninh</v>
      </c>
      <c r="G136" t="str">
        <f>IFERROR(VLOOKUP(A136,'Tham chiếu'!$A:$G,7,FALSE),"")</f>
        <v>Bắc Ninh</v>
      </c>
    </row>
    <row r="137" spans="1:7" x14ac:dyDescent="0.25">
      <c r="A137" t="s">
        <v>681</v>
      </c>
      <c r="B137" t="s">
        <v>682</v>
      </c>
      <c r="C137" t="s">
        <v>683</v>
      </c>
      <c r="D137" t="s">
        <v>684</v>
      </c>
      <c r="E137" t="s">
        <v>685</v>
      </c>
      <c r="F137" t="str">
        <f>IFERROR(VLOOKUP(A137,'Tham chiếu'!$A:$G,6,FALSE),"")</f>
        <v>lam-dong-2</v>
      </c>
      <c r="G137" t="str">
        <f>IFERROR(VLOOKUP(A137,'Tham chiếu'!$A:$G,7,FALSE),"")</f>
        <v>Lâm Đồng 2</v>
      </c>
    </row>
    <row r="138" spans="1:7" x14ac:dyDescent="0.25">
      <c r="A138" t="s">
        <v>686</v>
      </c>
      <c r="B138" t="s">
        <v>687</v>
      </c>
      <c r="C138" t="s">
        <v>688</v>
      </c>
      <c r="D138" t="s">
        <v>689</v>
      </c>
      <c r="E138" t="s">
        <v>690</v>
      </c>
      <c r="F138" t="str">
        <f>IFERROR(VLOOKUP(A138,'Tham chiếu'!$A:$G,6,FALSE),"")</f>
        <v>ca-mau</v>
      </c>
      <c r="G138" t="str">
        <f>IFERROR(VLOOKUP(A138,'Tham chiếu'!$A:$G,7,FALSE),"")</f>
        <v>Cà Mau</v>
      </c>
    </row>
    <row r="139" spans="1:7" x14ac:dyDescent="0.25">
      <c r="A139" t="s">
        <v>691</v>
      </c>
      <c r="B139" t="s">
        <v>692</v>
      </c>
      <c r="C139" t="s">
        <v>693</v>
      </c>
      <c r="D139" t="s">
        <v>694</v>
      </c>
      <c r="E139" t="s">
        <v>695</v>
      </c>
      <c r="F139" t="str">
        <f>IFERROR(VLOOKUP(A139,'Tham chiếu'!$A:$G,6,FALSE),"")</f>
        <v>can-tho-1</v>
      </c>
      <c r="G139" t="str">
        <f>IFERROR(VLOOKUP(A139,'Tham chiếu'!$A:$G,7,FALSE),"")</f>
        <v>Cần Thơ 1</v>
      </c>
    </row>
    <row r="140" spans="1:7" x14ac:dyDescent="0.25">
      <c r="A140" t="s">
        <v>696</v>
      </c>
      <c r="B140" t="s">
        <v>697</v>
      </c>
      <c r="C140" t="s">
        <v>698</v>
      </c>
      <c r="D140" t="s">
        <v>699</v>
      </c>
      <c r="E140" t="s">
        <v>700</v>
      </c>
      <c r="F140" t="str">
        <f>IFERROR(VLOOKUP(A140,'Tham chiếu'!$A:$G,6,FALSE),"")</f>
        <v>cao-bang</v>
      </c>
      <c r="G140" t="str">
        <f>IFERROR(VLOOKUP(A140,'Tham chiếu'!$A:$G,7,FALSE),"")</f>
        <v>Cao Bằng</v>
      </c>
    </row>
    <row r="141" spans="1:7" x14ac:dyDescent="0.25">
      <c r="A141" t="s">
        <v>701</v>
      </c>
      <c r="B141" t="s">
        <v>702</v>
      </c>
      <c r="C141" t="s">
        <v>703</v>
      </c>
      <c r="D141" t="s">
        <v>704</v>
      </c>
      <c r="E141" t="s">
        <v>705</v>
      </c>
      <c r="F141" t="str">
        <f>IFERROR(VLOOKUP(A141,'Tham chiếu'!$A:$G,6,FALSE),"")</f>
        <v>da-nang-1</v>
      </c>
      <c r="G141" t="str">
        <f>IFERROR(VLOOKUP(A141,'Tham chiếu'!$A:$G,7,FALSE),"")</f>
        <v>Đà Nẵng 1</v>
      </c>
    </row>
    <row r="142" spans="1:7" x14ac:dyDescent="0.25">
      <c r="A142" t="s">
        <v>706</v>
      </c>
      <c r="B142" t="s">
        <v>707</v>
      </c>
      <c r="C142" t="s">
        <v>708</v>
      </c>
      <c r="D142" t="s">
        <v>709</v>
      </c>
      <c r="E142" t="s">
        <v>710</v>
      </c>
      <c r="F142" t="str">
        <f>IFERROR(VLOOKUP(A142,'Tham chiếu'!$A:$G,6,FALSE),"")</f>
        <v>dak-lak</v>
      </c>
      <c r="G142" t="str">
        <f>IFERROR(VLOOKUP(A142,'Tham chiếu'!$A:$G,7,FALSE),"")</f>
        <v>Đắk Lắk</v>
      </c>
    </row>
    <row r="143" spans="1:7" x14ac:dyDescent="0.25">
      <c r="A143" t="s">
        <v>711</v>
      </c>
      <c r="B143" t="s">
        <v>712</v>
      </c>
      <c r="C143" t="s">
        <v>713</v>
      </c>
      <c r="D143" t="s">
        <v>714</v>
      </c>
      <c r="E143" t="s">
        <v>715</v>
      </c>
      <c r="F143" t="str">
        <f>IFERROR(VLOOKUP(A143,'Tham chiếu'!$A:$G,6,FALSE),"")</f>
        <v>dien-bien</v>
      </c>
      <c r="G143" t="str">
        <f>IFERROR(VLOOKUP(A143,'Tham chiếu'!$A:$G,7,FALSE),"")</f>
        <v>Điện Biên</v>
      </c>
    </row>
    <row r="144" spans="1:7" x14ac:dyDescent="0.25">
      <c r="A144" t="s">
        <v>716</v>
      </c>
      <c r="B144" t="s">
        <v>717</v>
      </c>
      <c r="C144" t="s">
        <v>718</v>
      </c>
      <c r="D144" t="s">
        <v>719</v>
      </c>
      <c r="E144" t="s">
        <v>720</v>
      </c>
      <c r="F144" t="str">
        <f>IFERROR(VLOOKUP(A144,'Tham chiếu'!$A:$G,6,FALSE),"")</f>
        <v>dong-nai-1</v>
      </c>
      <c r="G144" t="str">
        <f>IFERROR(VLOOKUP(A144,'Tham chiếu'!$A:$G,7,FALSE),"")</f>
        <v>Đồng Nai 1</v>
      </c>
    </row>
    <row r="145" spans="1:7" x14ac:dyDescent="0.25">
      <c r="A145" t="s">
        <v>721</v>
      </c>
      <c r="B145" t="s">
        <v>722</v>
      </c>
      <c r="C145" t="s">
        <v>723</v>
      </c>
      <c r="D145" t="s">
        <v>724</v>
      </c>
      <c r="E145" t="s">
        <v>725</v>
      </c>
      <c r="F145" t="str">
        <f>IFERROR(VLOOKUP(A145,'Tham chiếu'!$A:$G,6,FALSE),"")</f>
        <v>dong-thap-1</v>
      </c>
      <c r="G145" t="str">
        <f>IFERROR(VLOOKUP(A145,'Tham chiếu'!$A:$G,7,FALSE),"")</f>
        <v>Đồng Tháp 1</v>
      </c>
    </row>
    <row r="146" spans="1:7" x14ac:dyDescent="0.25">
      <c r="A146" t="s">
        <v>726</v>
      </c>
      <c r="B146" t="s">
        <v>727</v>
      </c>
      <c r="C146" t="s">
        <v>728</v>
      </c>
      <c r="D146" t="s">
        <v>729</v>
      </c>
      <c r="E146" t="s">
        <v>730</v>
      </c>
      <c r="F146" t="str">
        <f>IFERROR(VLOOKUP(A146,'Tham chiếu'!$A:$G,6,FALSE),"")</f>
        <v>gia-lai</v>
      </c>
      <c r="G146" t="str">
        <f>IFERROR(VLOOKUP(A146,'Tham chiếu'!$A:$G,7,FALSE),"")</f>
        <v>Gia Lai</v>
      </c>
    </row>
    <row r="147" spans="1:7" x14ac:dyDescent="0.25">
      <c r="A147" t="s">
        <v>731</v>
      </c>
      <c r="B147" t="s">
        <v>732</v>
      </c>
      <c r="C147" t="s">
        <v>733</v>
      </c>
      <c r="D147" t="s">
        <v>734</v>
      </c>
      <c r="E147" t="s">
        <v>735</v>
      </c>
      <c r="F147" t="str">
        <f>IFERROR(VLOOKUP(A147,'Tham chiếu'!$A:$G,6,FALSE),"")</f>
        <v>ha-tinh</v>
      </c>
      <c r="G147" t="str">
        <f>IFERROR(VLOOKUP(A147,'Tham chiếu'!$A:$G,7,FALSE),"")</f>
        <v>Hà Tĩnh</v>
      </c>
    </row>
    <row r="148" spans="1:7" x14ac:dyDescent="0.25">
      <c r="A148" t="s">
        <v>736</v>
      </c>
      <c r="B148" t="s">
        <v>737</v>
      </c>
      <c r="C148" t="s">
        <v>738</v>
      </c>
      <c r="D148" t="s">
        <v>739</v>
      </c>
      <c r="E148" t="s">
        <v>740</v>
      </c>
      <c r="F148" t="str">
        <f>IFERROR(VLOOKUP(A148,'Tham chiếu'!$A:$G,6,FALSE),"")</f>
        <v>hai-phong-3</v>
      </c>
      <c r="G148" t="str">
        <f>IFERROR(VLOOKUP(A148,'Tham chiếu'!$A:$G,7,FALSE),"")</f>
        <v>Hải Phòng 3</v>
      </c>
    </row>
    <row r="149" spans="1:7" x14ac:dyDescent="0.25">
      <c r="A149" t="s">
        <v>741</v>
      </c>
      <c r="B149" t="s">
        <v>742</v>
      </c>
      <c r="C149" t="s">
        <v>743</v>
      </c>
      <c r="D149" t="s">
        <v>744</v>
      </c>
      <c r="E149" t="s">
        <v>745</v>
      </c>
      <c r="F149" t="str">
        <f>IFERROR(VLOOKUP(A149,'Tham chiếu'!$A:$G,6,FALSE),"")</f>
        <v>hai-phong</v>
      </c>
      <c r="G149" t="str">
        <f>IFERROR(VLOOKUP(A149,'Tham chiếu'!$A:$G,7,FALSE),"")</f>
        <v>Hải Phòng</v>
      </c>
    </row>
    <row r="150" spans="1:7" x14ac:dyDescent="0.25">
      <c r="A150" t="s">
        <v>746</v>
      </c>
      <c r="B150" t="s">
        <v>747</v>
      </c>
      <c r="C150" t="s">
        <v>748</v>
      </c>
      <c r="D150" t="s">
        <v>749</v>
      </c>
      <c r="E150" t="s">
        <v>750</v>
      </c>
      <c r="F150" t="str">
        <f>IFERROR(VLOOKUP(A150,'Tham chiếu'!$A:$G,6,FALSE),"")</f>
        <v>can-tho-2</v>
      </c>
      <c r="G150" t="str">
        <f>IFERROR(VLOOKUP(A150,'Tham chiếu'!$A:$G,7,FALSE),"")</f>
        <v>Cần Thơ 2</v>
      </c>
    </row>
    <row r="151" spans="1:7" x14ac:dyDescent="0.25">
      <c r="A151" t="s">
        <v>751</v>
      </c>
      <c r="B151" t="s">
        <v>752</v>
      </c>
      <c r="C151" t="s">
        <v>753</v>
      </c>
      <c r="D151" t="s">
        <v>754</v>
      </c>
      <c r="E151" t="s">
        <v>755</v>
      </c>
      <c r="F151" t="str">
        <f>IFERROR(VLOOKUP(A151,'Tham chiếu'!$A:$G,6,FALSE),"")</f>
        <v>hue</v>
      </c>
      <c r="G151" t="str">
        <f>IFERROR(VLOOKUP(A151,'Tham chiếu'!$A:$G,7,FALSE),"")</f>
        <v>Huế</v>
      </c>
    </row>
    <row r="152" spans="1:7" x14ac:dyDescent="0.25">
      <c r="A152" t="s">
        <v>756</v>
      </c>
      <c r="B152" t="s">
        <v>757</v>
      </c>
      <c r="C152" t="s">
        <v>758</v>
      </c>
      <c r="D152" t="s">
        <v>759</v>
      </c>
      <c r="E152" t="s">
        <v>760</v>
      </c>
      <c r="F152" t="str">
        <f>IFERROR(VLOOKUP(A152,'Tham chiếu'!$A:$G,6,FALSE),"")</f>
        <v>hung-yen</v>
      </c>
      <c r="G152" t="str">
        <f>IFERROR(VLOOKUP(A152,'Tham chiếu'!$A:$G,7,FALSE),"")</f>
        <v>Hưng Yên</v>
      </c>
    </row>
    <row r="153" spans="1:7" x14ac:dyDescent="0.25">
      <c r="A153" t="s">
        <v>761</v>
      </c>
      <c r="B153" t="s">
        <v>762</v>
      </c>
      <c r="C153" t="s">
        <v>763</v>
      </c>
      <c r="D153" t="s">
        <v>764</v>
      </c>
      <c r="E153" t="s">
        <v>765</v>
      </c>
      <c r="F153" t="str">
        <f>IFERROR(VLOOKUP(A153,'Tham chiếu'!$A:$G,6,FALSE),"")</f>
        <v>khanh-hoa</v>
      </c>
      <c r="G153" t="str">
        <f>IFERROR(VLOOKUP(A153,'Tham chiếu'!$A:$G,7,FALSE),"")</f>
        <v>Khánh Hòa</v>
      </c>
    </row>
    <row r="154" spans="1:7" x14ac:dyDescent="0.25">
      <c r="A154" t="s">
        <v>766</v>
      </c>
      <c r="B154" t="s">
        <v>767</v>
      </c>
      <c r="C154" t="s">
        <v>768</v>
      </c>
      <c r="D154" t="s">
        <v>769</v>
      </c>
      <c r="E154" t="s">
        <v>770</v>
      </c>
      <c r="F154" t="str">
        <f>IFERROR(VLOOKUP(A154,'Tham chiếu'!$A:$G,6,FALSE),"")</f>
        <v>an-giang-1</v>
      </c>
      <c r="G154" t="str">
        <f>IFERROR(VLOOKUP(A154,'Tham chiếu'!$A:$G,7,FALSE),"")</f>
        <v>An Giang 1</v>
      </c>
    </row>
    <row r="155" spans="1:7" x14ac:dyDescent="0.25">
      <c r="A155" t="s">
        <v>771</v>
      </c>
      <c r="B155" t="s">
        <v>772</v>
      </c>
      <c r="C155" t="s">
        <v>773</v>
      </c>
      <c r="D155" t="s">
        <v>774</v>
      </c>
      <c r="E155" t="s">
        <v>775</v>
      </c>
      <c r="F155" t="str">
        <f>IFERROR(VLOOKUP(A155,'Tham chiếu'!$A:$G,6,FALSE),"")</f>
        <v>lai-chau</v>
      </c>
      <c r="G155" t="str">
        <f>IFERROR(VLOOKUP(A155,'Tham chiếu'!$A:$G,7,FALSE),"")</f>
        <v>Lai Châu</v>
      </c>
    </row>
    <row r="156" spans="1:7" x14ac:dyDescent="0.25">
      <c r="A156" t="s">
        <v>776</v>
      </c>
      <c r="B156" t="s">
        <v>777</v>
      </c>
      <c r="C156" t="s">
        <v>778</v>
      </c>
      <c r="D156" t="s">
        <v>779</v>
      </c>
      <c r="E156" t="s">
        <v>780</v>
      </c>
      <c r="F156" t="str">
        <f>IFERROR(VLOOKUP(A156,'Tham chiếu'!$A:$G,6,FALSE),"")</f>
        <v>lam-dong-1</v>
      </c>
      <c r="G156" t="str">
        <f>IFERROR(VLOOKUP(A156,'Tham chiếu'!$A:$G,7,FALSE),"")</f>
        <v>Lâm Đồng 1</v>
      </c>
    </row>
    <row r="157" spans="1:7" x14ac:dyDescent="0.25">
      <c r="A157" t="s">
        <v>781</v>
      </c>
      <c r="B157" t="s">
        <v>782</v>
      </c>
      <c r="C157" t="s">
        <v>783</v>
      </c>
      <c r="D157" t="s">
        <v>784</v>
      </c>
      <c r="E157" t="s">
        <v>785</v>
      </c>
      <c r="F157" t="str">
        <f>IFERROR(VLOOKUP(A157,'Tham chiếu'!$A:$G,6,FALSE),"")</f>
        <v>lang-son</v>
      </c>
      <c r="G157" t="str">
        <f>IFERROR(VLOOKUP(A157,'Tham chiếu'!$A:$G,7,FALSE),"")</f>
        <v>Lạng Sơn</v>
      </c>
    </row>
    <row r="158" spans="1:7" x14ac:dyDescent="0.25">
      <c r="A158" t="s">
        <v>786</v>
      </c>
      <c r="B158" t="s">
        <v>787</v>
      </c>
      <c r="C158" t="s">
        <v>788</v>
      </c>
      <c r="D158" t="s">
        <v>789</v>
      </c>
      <c r="E158" t="s">
        <v>790</v>
      </c>
      <c r="F158" t="str">
        <f>IFERROR(VLOOKUP(A158,'Tham chiếu'!$A:$G,6,FALSE),"")</f>
        <v>lao-cai</v>
      </c>
      <c r="G158" t="str">
        <f>IFERROR(VLOOKUP(A158,'Tham chiếu'!$A:$G,7,FALSE),"")</f>
        <v>Lào Cai</v>
      </c>
    </row>
    <row r="159" spans="1:7" x14ac:dyDescent="0.25">
      <c r="A159" t="s">
        <v>791</v>
      </c>
      <c r="B159" t="s">
        <v>792</v>
      </c>
      <c r="C159" t="s">
        <v>793</v>
      </c>
      <c r="D159" t="s">
        <v>794</v>
      </c>
      <c r="E159" t="s">
        <v>795</v>
      </c>
      <c r="F159" t="str">
        <f>IFERROR(VLOOKUP(A159,'Tham chiếu'!$A:$G,6,FALSE),"")</f>
        <v>tay-ninh-1</v>
      </c>
      <c r="G159" t="str">
        <f>IFERROR(VLOOKUP(A159,'Tham chiếu'!$A:$G,7,FALSE),"")</f>
        <v>Tây Ninh 1</v>
      </c>
    </row>
    <row r="160" spans="1:7" x14ac:dyDescent="0.25">
      <c r="A160" t="s">
        <v>796</v>
      </c>
      <c r="B160" t="s">
        <v>797</v>
      </c>
      <c r="C160" t="s">
        <v>798</v>
      </c>
      <c r="D160" t="s">
        <v>799</v>
      </c>
      <c r="E160" t="s">
        <v>800</v>
      </c>
      <c r="F160" t="str">
        <f>IFERROR(VLOOKUP(A160,'Tham chiếu'!$A:$G,6,FALSE),"")</f>
        <v>nghe-an</v>
      </c>
      <c r="G160" t="str">
        <f>IFERROR(VLOOKUP(A160,'Tham chiếu'!$A:$G,7,FALSE),"")</f>
        <v>Nghệ An</v>
      </c>
    </row>
    <row r="161" spans="1:7" x14ac:dyDescent="0.25">
      <c r="A161" t="s">
        <v>801</v>
      </c>
      <c r="B161" t="s">
        <v>802</v>
      </c>
      <c r="C161" t="s">
        <v>803</v>
      </c>
      <c r="D161" t="s">
        <v>804</v>
      </c>
      <c r="E161" t="s">
        <v>805</v>
      </c>
      <c r="F161" t="str">
        <f>IFERROR(VLOOKUP(A161,'Tham chiếu'!$A:$G,6,FALSE),"")</f>
        <v>ninh-binh</v>
      </c>
      <c r="G161" t="str">
        <f>IFERROR(VLOOKUP(A161,'Tham chiếu'!$A:$G,7,FALSE),"")</f>
        <v>Ninh Bình</v>
      </c>
    </row>
    <row r="162" spans="1:7" x14ac:dyDescent="0.25">
      <c r="A162" t="s">
        <v>806</v>
      </c>
      <c r="B162" t="s">
        <v>807</v>
      </c>
      <c r="C162" t="s">
        <v>808</v>
      </c>
      <c r="D162" t="s">
        <v>809</v>
      </c>
      <c r="E162" t="s">
        <v>810</v>
      </c>
      <c r="F162" t="str">
        <f>IFERROR(VLOOKUP(A162,'Tham chiếu'!$A:$G,6,FALSE),"")</f>
        <v>khanh-hoa-1</v>
      </c>
      <c r="G162" t="str">
        <f>IFERROR(VLOOKUP(A162,'Tham chiếu'!$A:$G,7,FALSE),"")</f>
        <v>Khánh Hòa 1</v>
      </c>
    </row>
    <row r="163" spans="1:7" x14ac:dyDescent="0.25">
      <c r="A163" t="s">
        <v>811</v>
      </c>
      <c r="B163" t="s">
        <v>812</v>
      </c>
      <c r="C163" t="s">
        <v>813</v>
      </c>
      <c r="D163" t="s">
        <v>814</v>
      </c>
      <c r="E163" t="s">
        <v>815</v>
      </c>
      <c r="F163" t="str">
        <f>IFERROR(VLOOKUP(A163,'Tham chiếu'!$A:$G,6,FALSE),"")</f>
        <v>phu-tho</v>
      </c>
      <c r="G163" t="str">
        <f>IFERROR(VLOOKUP(A163,'Tham chiếu'!$A:$G,7,FALSE),"")</f>
        <v>Phú Thọ</v>
      </c>
    </row>
    <row r="164" spans="1:7" x14ac:dyDescent="0.25">
      <c r="A164" t="s">
        <v>816</v>
      </c>
      <c r="B164" t="s">
        <v>817</v>
      </c>
      <c r="C164" t="s">
        <v>818</v>
      </c>
      <c r="D164" t="s">
        <v>819</v>
      </c>
      <c r="E164" t="s">
        <v>820</v>
      </c>
      <c r="F164" t="str">
        <f>IFERROR(VLOOKUP(A164,'Tham chiếu'!$A:$G,6,FALSE),"")</f>
        <v>da-nang-2</v>
      </c>
      <c r="G164" t="str">
        <f>IFERROR(VLOOKUP(A164,'Tham chiếu'!$A:$G,7,FALSE),"")</f>
        <v>Đà Nẵng 2</v>
      </c>
    </row>
    <row r="165" spans="1:7" x14ac:dyDescent="0.25">
      <c r="A165" t="s">
        <v>821</v>
      </c>
      <c r="B165" t="s">
        <v>822</v>
      </c>
      <c r="C165" t="s">
        <v>823</v>
      </c>
      <c r="D165" t="s">
        <v>824</v>
      </c>
      <c r="E165" t="s">
        <v>825</v>
      </c>
      <c r="F165" t="str">
        <f>IFERROR(VLOOKUP(A165,'Tham chiếu'!$A:$G,6,FALSE),"")</f>
        <v>quang-ngai</v>
      </c>
      <c r="G165" t="str">
        <f>IFERROR(VLOOKUP(A165,'Tham chiếu'!$A:$G,7,FALSE),"")</f>
        <v>Quảng Ngãi</v>
      </c>
    </row>
    <row r="166" spans="1:7" x14ac:dyDescent="0.25">
      <c r="A166" t="s">
        <v>826</v>
      </c>
      <c r="B166" t="s">
        <v>827</v>
      </c>
      <c r="C166" t="s">
        <v>828</v>
      </c>
      <c r="D166" t="s">
        <v>829</v>
      </c>
      <c r="E166" t="s">
        <v>830</v>
      </c>
      <c r="F166" t="str">
        <f>IFERROR(VLOOKUP(A166,'Tham chiếu'!$A:$G,6,FALSE),"")</f>
        <v>quang-ninh-1</v>
      </c>
      <c r="G166" t="str">
        <f>IFERROR(VLOOKUP(A166,'Tham chiếu'!$A:$G,7,FALSE),"")</f>
        <v>Quảng Ninh 1</v>
      </c>
    </row>
    <row r="167" spans="1:7" x14ac:dyDescent="0.25">
      <c r="A167" t="s">
        <v>831</v>
      </c>
      <c r="B167" t="s">
        <v>832</v>
      </c>
      <c r="C167" t="s">
        <v>833</v>
      </c>
      <c r="D167" t="s">
        <v>834</v>
      </c>
      <c r="E167" t="s">
        <v>835</v>
      </c>
      <c r="F167" t="str">
        <f>IFERROR(VLOOKUP(A167,'Tham chiếu'!$A:$G,6,FALSE),"")</f>
        <v>quang-tri</v>
      </c>
      <c r="G167" t="str">
        <f>IFERROR(VLOOKUP(A167,'Tham chiếu'!$A:$G,7,FALSE),"")</f>
        <v>Quảng Trị</v>
      </c>
    </row>
    <row r="168" spans="1:7" x14ac:dyDescent="0.25">
      <c r="A168" t="s">
        <v>836</v>
      </c>
      <c r="B168" t="s">
        <v>837</v>
      </c>
      <c r="C168" t="s">
        <v>838</v>
      </c>
      <c r="D168" t="s">
        <v>839</v>
      </c>
      <c r="E168" t="s">
        <v>840</v>
      </c>
      <c r="F168" t="str">
        <f>IFERROR(VLOOKUP(A168,'Tham chiếu'!$A:$G,6,FALSE),"")</f>
        <v>can-tho-3</v>
      </c>
      <c r="G168" t="str">
        <f>IFERROR(VLOOKUP(A168,'Tham chiếu'!$A:$G,7,FALSE),"")</f>
        <v>Cần Thơ 3</v>
      </c>
    </row>
    <row r="169" spans="1:7" x14ac:dyDescent="0.25">
      <c r="A169" t="s">
        <v>841</v>
      </c>
      <c r="B169" t="s">
        <v>842</v>
      </c>
      <c r="C169" t="s">
        <v>843</v>
      </c>
      <c r="D169" t="s">
        <v>844</v>
      </c>
      <c r="E169" t="s">
        <v>845</v>
      </c>
      <c r="F169" t="str">
        <f>IFERROR(VLOOKUP(A169,'Tham chiếu'!$A:$G,6,FALSE),"")</f>
        <v>son-la</v>
      </c>
      <c r="G169" t="str">
        <f>IFERROR(VLOOKUP(A169,'Tham chiếu'!$A:$G,7,FALSE),"")</f>
        <v>Sơn La</v>
      </c>
    </row>
    <row r="170" spans="1:7" x14ac:dyDescent="0.25">
      <c r="A170" t="s">
        <v>846</v>
      </c>
      <c r="B170" t="s">
        <v>847</v>
      </c>
      <c r="C170" t="s">
        <v>848</v>
      </c>
      <c r="D170" t="s">
        <v>849</v>
      </c>
      <c r="E170" t="s">
        <v>850</v>
      </c>
      <c r="F170" t="str">
        <f>IFERROR(VLOOKUP(A170,'Tham chiếu'!$A:$G,6,FALSE),"")</f>
        <v>thai-nguyen</v>
      </c>
      <c r="G170" t="str">
        <f>IFERROR(VLOOKUP(A170,'Tham chiếu'!$A:$G,7,FALSE),"")</f>
        <v>Thái Nguyên</v>
      </c>
    </row>
    <row r="171" spans="1:7" x14ac:dyDescent="0.25">
      <c r="A171" t="s">
        <v>851</v>
      </c>
      <c r="B171" t="s">
        <v>852</v>
      </c>
      <c r="C171" t="s">
        <v>853</v>
      </c>
      <c r="D171" t="s">
        <v>854</v>
      </c>
      <c r="E171" t="s">
        <v>855</v>
      </c>
      <c r="F171" t="str">
        <f>IFERROR(VLOOKUP(A171,'Tham chiếu'!$A:$G,6,FALSE),"")</f>
        <v>thanh-hoa</v>
      </c>
      <c r="G171" t="str">
        <f>IFERROR(VLOOKUP(A171,'Tham chiếu'!$A:$G,7,FALSE),"")</f>
        <v>Thanh Hóa</v>
      </c>
    </row>
    <row r="172" spans="1:7" x14ac:dyDescent="0.25">
      <c r="A172" t="s">
        <v>856</v>
      </c>
      <c r="B172" t="s">
        <v>857</v>
      </c>
      <c r="C172" t="s">
        <v>858</v>
      </c>
      <c r="D172" t="s">
        <v>859</v>
      </c>
      <c r="E172" t="s">
        <v>860</v>
      </c>
      <c r="F172" t="str">
        <f>IFERROR(VLOOKUP(A172,'Tham chiếu'!$A:$G,6,FALSE),"")</f>
        <v>dong-thap-2</v>
      </c>
      <c r="G172" t="str">
        <f>IFERROR(VLOOKUP(A172,'Tham chiếu'!$A:$G,7,FALSE),"")</f>
        <v>Đồng Tháp 2</v>
      </c>
    </row>
    <row r="173" spans="1:7" x14ac:dyDescent="0.25">
      <c r="A173" t="s">
        <v>861</v>
      </c>
      <c r="B173" t="s">
        <v>862</v>
      </c>
      <c r="C173" t="s">
        <v>863</v>
      </c>
      <c r="D173" t="s">
        <v>864</v>
      </c>
      <c r="E173" t="s">
        <v>865</v>
      </c>
      <c r="F173" t="str">
        <f>IFERROR(VLOOKUP(A173,'Tham chiếu'!$A:$G,6,FALSE),"")</f>
        <v>tuyen-quang</v>
      </c>
      <c r="G173" t="str">
        <f>IFERROR(VLOOKUP(A173,'Tham chiếu'!$A:$G,7,FALSE),"")</f>
        <v>Tuyên Quang</v>
      </c>
    </row>
    <row r="174" spans="1:7" x14ac:dyDescent="0.25">
      <c r="A174" t="s">
        <v>866</v>
      </c>
      <c r="B174" t="s">
        <v>867</v>
      </c>
      <c r="C174" t="s">
        <v>868</v>
      </c>
      <c r="D174" t="s">
        <v>869</v>
      </c>
      <c r="E174" t="s">
        <v>870</v>
      </c>
      <c r="F174" t="str">
        <f>IFERROR(VLOOKUP(A174,'Tham chiếu'!$A:$G,6,FALSE),"")</f>
        <v>dong-nai</v>
      </c>
      <c r="G174" t="str">
        <f>IFERROR(VLOOKUP(A174,'Tham chiếu'!$A:$G,7,FALSE),"")</f>
        <v>Đồng Nai</v>
      </c>
    </row>
    <row r="175" spans="1:7" x14ac:dyDescent="0.25">
      <c r="A175" t="s">
        <v>871</v>
      </c>
      <c r="B175" t="s">
        <v>872</v>
      </c>
      <c r="C175" t="s">
        <v>873</v>
      </c>
      <c r="D175" t="s">
        <v>874</v>
      </c>
      <c r="E175" t="s">
        <v>875</v>
      </c>
      <c r="F175" t="str">
        <f>IFERROR(VLOOKUP(A175,'Tham chiếu'!$A:$G,6,FALSE),"")</f>
        <v>bong-chuyen</v>
      </c>
      <c r="G175" t="str">
        <f>IFERROR(VLOOKUP(A175,'Tham chiếu'!$A:$G,7,FALSE),"")</f>
        <v>Bóng chuyền</v>
      </c>
    </row>
    <row r="176" spans="1:7" x14ac:dyDescent="0.25">
      <c r="F176" t="str">
        <f>IFERROR(VLOOKUP(A176,'Tham chiếu'!$A:$G,6,FALSE),"")</f>
        <v/>
      </c>
      <c r="G176" t="str">
        <f>IFERROR(VLOOKUP(A176,'Tham chiếu'!$A:$G,7,FALSE),"")</f>
        <v/>
      </c>
    </row>
    <row r="177" spans="6:7" x14ac:dyDescent="0.25">
      <c r="F177" t="str">
        <f>IFERROR(VLOOKUP(A177,'Tham chiếu'!$A:$G,6,FALSE),"")</f>
        <v/>
      </c>
      <c r="G177" t="str">
        <f>IFERROR(VLOOKUP(A177,'Tham chiếu'!$A:$G,7,FALSE),"")</f>
        <v/>
      </c>
    </row>
    <row r="178" spans="6:7" x14ac:dyDescent="0.25">
      <c r="F178" t="str">
        <f>IFERROR(VLOOKUP(A178,'Tham chiếu'!$A:$G,6,FALSE),"")</f>
        <v/>
      </c>
      <c r="G178" t="str">
        <f>IFERROR(VLOOKUP(A178,'Tham chiếu'!$A:$G,7,FALSE),"")</f>
        <v/>
      </c>
    </row>
    <row r="179" spans="6:7" x14ac:dyDescent="0.25">
      <c r="F179" t="str">
        <f>IFERROR(VLOOKUP(A179,'Tham chiếu'!$A:$G,6,FALSE),"")</f>
        <v/>
      </c>
      <c r="G179" t="str">
        <f>IFERROR(VLOOKUP(A179,'Tham chiếu'!$A:$G,7,FALSE),"")</f>
        <v/>
      </c>
    </row>
    <row r="180" spans="6:7" x14ac:dyDescent="0.25">
      <c r="F180" t="str">
        <f>IFERROR(VLOOKUP(A180,'Tham chiếu'!$A:$G,6,FALSE),"")</f>
        <v/>
      </c>
      <c r="G180" t="str">
        <f>IFERROR(VLOOKUP(A180,'Tham chiếu'!$A:$G,7,FALSE),"")</f>
        <v/>
      </c>
    </row>
    <row r="181" spans="6:7" x14ac:dyDescent="0.25">
      <c r="F181" t="str">
        <f>IFERROR(VLOOKUP(A181,'Tham chiếu'!$A:$G,6,FALSE),"")</f>
        <v/>
      </c>
      <c r="G181" t="str">
        <f>IFERROR(VLOOKUP(A181,'Tham chiếu'!$A:$G,7,FALSE),"")</f>
        <v/>
      </c>
    </row>
    <row r="182" spans="6:7" x14ac:dyDescent="0.25">
      <c r="F182" t="str">
        <f>IFERROR(VLOOKUP(A182,'Tham chiếu'!$A:$G,6,FALSE),"")</f>
        <v/>
      </c>
      <c r="G182" t="str">
        <f>IFERROR(VLOOKUP(A182,'Tham chiếu'!$A:$G,7,FALSE),"")</f>
        <v/>
      </c>
    </row>
    <row r="183" spans="6:7" x14ac:dyDescent="0.25">
      <c r="F183" t="str">
        <f>IFERROR(VLOOKUP(A183,'Tham chiếu'!$A:$G,6,FALSE),"")</f>
        <v/>
      </c>
      <c r="G183" t="str">
        <f>IFERROR(VLOOKUP(A183,'Tham chiếu'!$A:$G,7,FALSE),"")</f>
        <v/>
      </c>
    </row>
    <row r="184" spans="6:7" x14ac:dyDescent="0.25">
      <c r="F184" t="str">
        <f>IFERROR(VLOOKUP(A184,'Tham chiếu'!$A:$G,6,FALSE),"")</f>
        <v/>
      </c>
      <c r="G184" t="str">
        <f>IFERROR(VLOOKUP(A184,'Tham chiếu'!$A:$G,7,FALSE),"")</f>
        <v/>
      </c>
    </row>
    <row r="185" spans="6:7" x14ac:dyDescent="0.25">
      <c r="F185" t="str">
        <f>IFERROR(VLOOKUP(A185,'Tham chiếu'!$A:$G,6,FALSE),"")</f>
        <v/>
      </c>
      <c r="G185" t="str">
        <f>IFERROR(VLOOKUP(A185,'Tham chiếu'!$A:$G,7,FALSE),"")</f>
        <v/>
      </c>
    </row>
    <row r="186" spans="6:7" x14ac:dyDescent="0.25">
      <c r="F186" t="str">
        <f>IFERROR(VLOOKUP(A186,'Tham chiếu'!$A:$G,6,FALSE),"")</f>
        <v/>
      </c>
      <c r="G186" t="str">
        <f>IFERROR(VLOOKUP(A186,'Tham chiếu'!$A:$G,7,FALSE),"")</f>
        <v/>
      </c>
    </row>
    <row r="187" spans="6:7" x14ac:dyDescent="0.25">
      <c r="F187" t="str">
        <f>IFERROR(VLOOKUP(A187,'Tham chiếu'!$A:$G,6,FALSE),"")</f>
        <v/>
      </c>
      <c r="G187" t="str">
        <f>IFERROR(VLOOKUP(A187,'Tham chiếu'!$A:$G,7,FALSE),"")</f>
        <v/>
      </c>
    </row>
    <row r="188" spans="6:7" x14ac:dyDescent="0.25">
      <c r="F188" t="str">
        <f>IFERROR(VLOOKUP(A188,'Tham chiếu'!$A:$G,6,FALSE),"")</f>
        <v/>
      </c>
      <c r="G188" t="str">
        <f>IFERROR(VLOOKUP(A188,'Tham chiếu'!$A:$G,7,FALSE),"")</f>
        <v/>
      </c>
    </row>
    <row r="189" spans="6:7" x14ac:dyDescent="0.25">
      <c r="F189" t="str">
        <f>IFERROR(VLOOKUP(A189,'Tham chiếu'!$A:$G,6,FALSE),"")</f>
        <v/>
      </c>
      <c r="G189" t="str">
        <f>IFERROR(VLOOKUP(A189,'Tham chiếu'!$A:$G,7,FALSE),"")</f>
        <v/>
      </c>
    </row>
    <row r="190" spans="6:7" x14ac:dyDescent="0.25">
      <c r="F190" t="str">
        <f>IFERROR(VLOOKUP(A190,'Tham chiếu'!$A:$G,6,FALSE),"")</f>
        <v/>
      </c>
      <c r="G190" t="str">
        <f>IFERROR(VLOOKUP(A190,'Tham chiếu'!$A:$G,7,FALSE),"")</f>
        <v/>
      </c>
    </row>
    <row r="191" spans="6:7" x14ac:dyDescent="0.25">
      <c r="F191" t="str">
        <f>IFERROR(VLOOKUP(A191,'Tham chiếu'!$A:$G,6,FALSE),"")</f>
        <v/>
      </c>
      <c r="G191" t="str">
        <f>IFERROR(VLOOKUP(A191,'Tham chiếu'!$A:$G,7,FALSE),"")</f>
        <v/>
      </c>
    </row>
    <row r="192" spans="6:7" x14ac:dyDescent="0.25">
      <c r="F192" t="str">
        <f>IFERROR(VLOOKUP(A192,'Tham chiếu'!$A:$G,6,FALSE),"")</f>
        <v/>
      </c>
      <c r="G192" t="str">
        <f>IFERROR(VLOOKUP(A192,'Tham chiếu'!$A:$G,7,FALSE),"")</f>
        <v/>
      </c>
    </row>
    <row r="193" spans="6:7" x14ac:dyDescent="0.25">
      <c r="F193" t="str">
        <f>IFERROR(VLOOKUP(A193,'Tham chiếu'!$A:$G,6,FALSE),"")</f>
        <v/>
      </c>
      <c r="G193" t="str">
        <f>IFERROR(VLOOKUP(A193,'Tham chiếu'!$A:$G,7,FALSE),"")</f>
        <v/>
      </c>
    </row>
    <row r="194" spans="6:7" x14ac:dyDescent="0.25">
      <c r="F194" t="str">
        <f>IFERROR(VLOOKUP(A194,'Tham chiếu'!$A:$G,6,FALSE),"")</f>
        <v/>
      </c>
      <c r="G194" t="str">
        <f>IFERROR(VLOOKUP(A194,'Tham chiếu'!$A:$G,7,FALSE),"")</f>
        <v/>
      </c>
    </row>
    <row r="195" spans="6:7" x14ac:dyDescent="0.25">
      <c r="F195" t="str">
        <f>IFERROR(VLOOKUP(A195,'Tham chiếu'!$A:$G,6,FALSE),"")</f>
        <v/>
      </c>
      <c r="G195" t="str">
        <f>IFERROR(VLOOKUP(A195,'Tham chiếu'!$A:$G,7,FALSE),"")</f>
        <v/>
      </c>
    </row>
    <row r="196" spans="6:7" x14ac:dyDescent="0.25">
      <c r="F196" t="str">
        <f>IFERROR(VLOOKUP(A196,'Tham chiếu'!$A:$G,6,FALSE),"")</f>
        <v/>
      </c>
      <c r="G196" t="str">
        <f>IFERROR(VLOOKUP(A196,'Tham chiếu'!$A:$G,7,FALSE),"")</f>
        <v/>
      </c>
    </row>
    <row r="197" spans="6:7" x14ac:dyDescent="0.25">
      <c r="F197" t="str">
        <f>IFERROR(VLOOKUP(A197,'Tham chiếu'!$A:$G,6,FALSE),"")</f>
        <v/>
      </c>
      <c r="G197" t="str">
        <f>IFERROR(VLOOKUP(A197,'Tham chiếu'!$A:$G,7,FALSE),"")</f>
        <v/>
      </c>
    </row>
    <row r="198" spans="6:7" x14ac:dyDescent="0.25">
      <c r="F198" t="str">
        <f>IFERROR(VLOOKUP(A198,'Tham chiếu'!$A:$G,6,FALSE),"")</f>
        <v/>
      </c>
      <c r="G198" t="str">
        <f>IFERROR(VLOOKUP(A198,'Tham chiếu'!$A:$G,7,FALSE),"")</f>
        <v/>
      </c>
    </row>
    <row r="199" spans="6:7" x14ac:dyDescent="0.25">
      <c r="F199" t="str">
        <f>IFERROR(VLOOKUP(A199,'Tham chiếu'!$A:$G,6,FALSE),"")</f>
        <v/>
      </c>
      <c r="G199" t="str">
        <f>IFERROR(VLOOKUP(A199,'Tham chiếu'!$A:$G,7,FALSE),"")</f>
        <v/>
      </c>
    </row>
    <row r="200" spans="6:7" x14ac:dyDescent="0.25">
      <c r="F200" t="str">
        <f>IFERROR(VLOOKUP(A200,'Tham chiếu'!$A:$G,6,FALSE),"")</f>
        <v/>
      </c>
      <c r="G200" t="str">
        <f>IFERROR(VLOOKUP(A200,'Tham chiếu'!$A:$G,7,FALSE),"")</f>
        <v/>
      </c>
    </row>
    <row r="201" spans="6:7" x14ac:dyDescent="0.25">
      <c r="F201" t="str">
        <f>IFERROR(VLOOKUP(A201,'Tham chiếu'!$A:$G,6,FALSE),"")</f>
        <v/>
      </c>
      <c r="G201" t="str">
        <f>IFERROR(VLOOKUP(A201,'Tham chiếu'!$A:$G,7,FALSE),"")</f>
        <v/>
      </c>
    </row>
    <row r="202" spans="6:7" x14ac:dyDescent="0.25">
      <c r="F202" t="str">
        <f>IFERROR(VLOOKUP(A202,'Tham chiếu'!$A:$G,6,FALSE),"")</f>
        <v/>
      </c>
      <c r="G202" t="str">
        <f>IFERROR(VLOOKUP(A202,'Tham chiếu'!$A:$G,7,FALSE),"")</f>
        <v/>
      </c>
    </row>
    <row r="203" spans="6:7" x14ac:dyDescent="0.25">
      <c r="F203" t="str">
        <f>IFERROR(VLOOKUP(A203,'Tham chiếu'!$A:$G,6,FALSE),"")</f>
        <v/>
      </c>
      <c r="G203" t="str">
        <f>IFERROR(VLOOKUP(A203,'Tham chiếu'!$A:$G,7,FALSE),"")</f>
        <v/>
      </c>
    </row>
    <row r="204" spans="6:7" x14ac:dyDescent="0.25">
      <c r="F204" t="str">
        <f>IFERROR(VLOOKUP(A204,'Tham chiếu'!$A:$G,6,FALSE),"")</f>
        <v/>
      </c>
      <c r="G204" t="str">
        <f>IFERROR(VLOOKUP(A204,'Tham chiếu'!$A:$G,7,FALSE),"")</f>
        <v/>
      </c>
    </row>
    <row r="205" spans="6:7" x14ac:dyDescent="0.25">
      <c r="F205" t="str">
        <f>IFERROR(VLOOKUP(A205,'Tham chiếu'!$A:$G,6,FALSE),"")</f>
        <v/>
      </c>
      <c r="G205" t="str">
        <f>IFERROR(VLOOKUP(A205,'Tham chiếu'!$A:$G,7,FALSE),"")</f>
        <v/>
      </c>
    </row>
    <row r="206" spans="6:7" x14ac:dyDescent="0.25">
      <c r="F206" t="str">
        <f>IFERROR(VLOOKUP(A206,'Tham chiếu'!$A:$G,6,FALSE),"")</f>
        <v/>
      </c>
      <c r="G206" t="str">
        <f>IFERROR(VLOOKUP(A206,'Tham chiếu'!$A:$G,7,FALSE),"")</f>
        <v/>
      </c>
    </row>
    <row r="207" spans="6:7" x14ac:dyDescent="0.25">
      <c r="F207" t="str">
        <f>IFERROR(VLOOKUP(A207,'Tham chiếu'!$A:$G,6,FALSE),"")</f>
        <v/>
      </c>
      <c r="G207" t="str">
        <f>IFERROR(VLOOKUP(A207,'Tham chiếu'!$A:$G,7,FALSE),"")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5"/>
  <sheetViews>
    <sheetView tabSelected="1" topLeftCell="D1" workbookViewId="0">
      <selection activeCell="E12" sqref="E12"/>
    </sheetView>
  </sheetViews>
  <sheetFormatPr defaultRowHeight="15" x14ac:dyDescent="0.25"/>
  <cols>
    <col min="1" max="1" width="6" bestFit="1" customWidth="1"/>
    <col min="2" max="2" width="26.140625" bestFit="1" customWidth="1"/>
    <col min="3" max="3" width="24.5703125" bestFit="1" customWidth="1"/>
    <col min="4" max="4" width="50.140625" bestFit="1" customWidth="1"/>
    <col min="5" max="5" width="85.5703125" bestFit="1" customWidth="1"/>
    <col min="6" max="6" width="8" bestFit="1" customWidth="1"/>
    <col min="7" max="7" width="13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876</v>
      </c>
      <c r="F1" s="2" t="s">
        <v>4</v>
      </c>
      <c r="G1" s="2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t="s">
        <v>7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13</v>
      </c>
      <c r="G3" t="s">
        <v>12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18</v>
      </c>
      <c r="G4" t="s">
        <v>17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23</v>
      </c>
      <c r="G5" t="s">
        <v>22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28</v>
      </c>
      <c r="G6" t="s">
        <v>27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33</v>
      </c>
      <c r="G7" t="s">
        <v>32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38</v>
      </c>
      <c r="G8" t="s">
        <v>37</v>
      </c>
    </row>
    <row r="9" spans="1:7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43</v>
      </c>
      <c r="G9" t="s">
        <v>42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48</v>
      </c>
      <c r="G10" t="s">
        <v>47</v>
      </c>
    </row>
    <row r="11" spans="1:7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53</v>
      </c>
      <c r="G11" t="s">
        <v>52</v>
      </c>
    </row>
    <row r="12" spans="1:7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58</v>
      </c>
      <c r="G12" t="s">
        <v>57</v>
      </c>
    </row>
    <row r="13" spans="1:7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63</v>
      </c>
      <c r="G13" t="s">
        <v>62</v>
      </c>
    </row>
    <row r="14" spans="1:7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68</v>
      </c>
      <c r="G14" t="s">
        <v>67</v>
      </c>
    </row>
    <row r="15" spans="1:7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73</v>
      </c>
      <c r="G15" t="s">
        <v>72</v>
      </c>
    </row>
    <row r="16" spans="1:7" x14ac:dyDescent="0.2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78</v>
      </c>
      <c r="G16" t="s">
        <v>77</v>
      </c>
    </row>
    <row r="17" spans="1:7" x14ac:dyDescent="0.2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83</v>
      </c>
      <c r="G17" t="s">
        <v>82</v>
      </c>
    </row>
    <row r="18" spans="1:7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88</v>
      </c>
      <c r="G18" t="s">
        <v>87</v>
      </c>
    </row>
    <row r="19" spans="1:7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93</v>
      </c>
      <c r="G19" t="s">
        <v>92</v>
      </c>
    </row>
    <row r="20" spans="1:7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98</v>
      </c>
      <c r="G20" t="s">
        <v>97</v>
      </c>
    </row>
    <row r="21" spans="1:7" x14ac:dyDescent="0.2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103</v>
      </c>
      <c r="G21" t="s">
        <v>102</v>
      </c>
    </row>
    <row r="22" spans="1:7" x14ac:dyDescent="0.2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108</v>
      </c>
      <c r="G22" t="s">
        <v>107</v>
      </c>
    </row>
    <row r="23" spans="1:7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113</v>
      </c>
      <c r="G23" t="s">
        <v>112</v>
      </c>
    </row>
    <row r="24" spans="1:7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118</v>
      </c>
      <c r="G24" t="s">
        <v>117</v>
      </c>
    </row>
    <row r="25" spans="1:7" x14ac:dyDescent="0.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123</v>
      </c>
      <c r="G25" t="s">
        <v>122</v>
      </c>
    </row>
    <row r="26" spans="1:7" x14ac:dyDescent="0.2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128</v>
      </c>
      <c r="G26" t="s">
        <v>127</v>
      </c>
    </row>
    <row r="27" spans="1:7" x14ac:dyDescent="0.2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133</v>
      </c>
      <c r="G27" t="s">
        <v>132</v>
      </c>
    </row>
    <row r="28" spans="1:7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138</v>
      </c>
      <c r="G28" t="s">
        <v>137</v>
      </c>
    </row>
    <row r="29" spans="1:7" x14ac:dyDescent="0.2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143</v>
      </c>
      <c r="G29" t="s">
        <v>142</v>
      </c>
    </row>
    <row r="30" spans="1:7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148</v>
      </c>
      <c r="G30" t="s">
        <v>147</v>
      </c>
    </row>
    <row r="31" spans="1:7" x14ac:dyDescent="0.2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153</v>
      </c>
      <c r="G31" t="s">
        <v>152</v>
      </c>
    </row>
    <row r="32" spans="1:7" x14ac:dyDescent="0.2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158</v>
      </c>
      <c r="G32" t="s">
        <v>157</v>
      </c>
    </row>
    <row r="33" spans="1:7" x14ac:dyDescent="0.2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163</v>
      </c>
      <c r="G33" t="s">
        <v>162</v>
      </c>
    </row>
    <row r="34" spans="1:7" x14ac:dyDescent="0.2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168</v>
      </c>
      <c r="G34" t="s">
        <v>167</v>
      </c>
    </row>
    <row r="35" spans="1:7" x14ac:dyDescent="0.2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173</v>
      </c>
      <c r="G35" t="s">
        <v>172</v>
      </c>
    </row>
    <row r="36" spans="1:7" x14ac:dyDescent="0.2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178</v>
      </c>
      <c r="G36" t="s">
        <v>177</v>
      </c>
    </row>
    <row r="37" spans="1:7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183</v>
      </c>
      <c r="G37" t="s">
        <v>182</v>
      </c>
    </row>
    <row r="38" spans="1:7" x14ac:dyDescent="0.25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t="s">
        <v>188</v>
      </c>
      <c r="G38" t="s">
        <v>187</v>
      </c>
    </row>
    <row r="39" spans="1:7" x14ac:dyDescent="0.25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 t="s">
        <v>193</v>
      </c>
      <c r="G39" t="s">
        <v>192</v>
      </c>
    </row>
    <row r="40" spans="1:7" x14ac:dyDescent="0.25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t="s">
        <v>198</v>
      </c>
      <c r="G40" t="s">
        <v>197</v>
      </c>
    </row>
    <row r="41" spans="1:7" x14ac:dyDescent="0.2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203</v>
      </c>
      <c r="G41" t="s">
        <v>202</v>
      </c>
    </row>
    <row r="42" spans="1:7" x14ac:dyDescent="0.25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 t="s">
        <v>208</v>
      </c>
      <c r="G42" t="s">
        <v>207</v>
      </c>
    </row>
    <row r="43" spans="1:7" x14ac:dyDescent="0.25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 t="s">
        <v>213</v>
      </c>
      <c r="G43" t="s">
        <v>212</v>
      </c>
    </row>
    <row r="44" spans="1:7" x14ac:dyDescent="0.25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 t="s">
        <v>218</v>
      </c>
      <c r="G44" t="s">
        <v>217</v>
      </c>
    </row>
    <row r="45" spans="1:7" x14ac:dyDescent="0.25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 t="s">
        <v>223</v>
      </c>
      <c r="G45" t="s">
        <v>222</v>
      </c>
    </row>
    <row r="46" spans="1:7" x14ac:dyDescent="0.25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">
        <v>228</v>
      </c>
      <c r="G46" t="s">
        <v>227</v>
      </c>
    </row>
    <row r="47" spans="1:7" x14ac:dyDescent="0.25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t="s">
        <v>233</v>
      </c>
      <c r="G47" t="s">
        <v>232</v>
      </c>
    </row>
    <row r="48" spans="1:7" x14ac:dyDescent="0.25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 t="s">
        <v>238</v>
      </c>
      <c r="G48" t="s">
        <v>237</v>
      </c>
    </row>
    <row r="49" spans="1:7" x14ac:dyDescent="0.25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 t="s">
        <v>243</v>
      </c>
      <c r="G49" t="s">
        <v>242</v>
      </c>
    </row>
    <row r="50" spans="1:7" x14ac:dyDescent="0.25">
      <c r="A50" t="s">
        <v>246</v>
      </c>
      <c r="B50" t="s">
        <v>247</v>
      </c>
      <c r="C50" t="s">
        <v>248</v>
      </c>
      <c r="D50" t="s">
        <v>249</v>
      </c>
      <c r="E50" t="s">
        <v>250</v>
      </c>
      <c r="F50" t="s">
        <v>248</v>
      </c>
      <c r="G50" t="s">
        <v>247</v>
      </c>
    </row>
    <row r="51" spans="1:7" x14ac:dyDescent="0.25">
      <c r="A51" t="s">
        <v>251</v>
      </c>
      <c r="B51" t="s">
        <v>252</v>
      </c>
      <c r="C51" t="s">
        <v>253</v>
      </c>
      <c r="D51" t="s">
        <v>254</v>
      </c>
      <c r="E51" t="s">
        <v>255</v>
      </c>
      <c r="F51" t="s">
        <v>253</v>
      </c>
      <c r="G51" t="s">
        <v>252</v>
      </c>
    </row>
    <row r="52" spans="1:7" x14ac:dyDescent="0.25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 t="s">
        <v>258</v>
      </c>
      <c r="G52" t="s">
        <v>257</v>
      </c>
    </row>
    <row r="53" spans="1:7" x14ac:dyDescent="0.25">
      <c r="A53" t="s">
        <v>261</v>
      </c>
      <c r="B53" t="s">
        <v>262</v>
      </c>
      <c r="C53" t="s">
        <v>263</v>
      </c>
      <c r="D53" t="s">
        <v>264</v>
      </c>
      <c r="E53" t="s">
        <v>265</v>
      </c>
      <c r="F53" t="s">
        <v>263</v>
      </c>
      <c r="G53" t="s">
        <v>262</v>
      </c>
    </row>
    <row r="54" spans="1:7" x14ac:dyDescent="0.25">
      <c r="A54" t="s">
        <v>266</v>
      </c>
      <c r="B54" t="s">
        <v>267</v>
      </c>
      <c r="C54" t="s">
        <v>268</v>
      </c>
      <c r="D54" t="s">
        <v>269</v>
      </c>
      <c r="E54" t="s">
        <v>270</v>
      </c>
      <c r="F54" t="s">
        <v>268</v>
      </c>
      <c r="G54" t="s">
        <v>267</v>
      </c>
    </row>
    <row r="55" spans="1:7" x14ac:dyDescent="0.25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 t="s">
        <v>273</v>
      </c>
      <c r="G55" t="s">
        <v>272</v>
      </c>
    </row>
    <row r="56" spans="1:7" x14ac:dyDescent="0.25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278</v>
      </c>
      <c r="G56" t="s">
        <v>277</v>
      </c>
    </row>
    <row r="57" spans="1:7" x14ac:dyDescent="0.25">
      <c r="A57" t="s">
        <v>281</v>
      </c>
      <c r="B57" t="s">
        <v>282</v>
      </c>
      <c r="C57" t="s">
        <v>283</v>
      </c>
      <c r="D57" t="s">
        <v>284</v>
      </c>
      <c r="E57" t="s">
        <v>285</v>
      </c>
      <c r="F57" t="s">
        <v>283</v>
      </c>
      <c r="G57" t="s">
        <v>282</v>
      </c>
    </row>
    <row r="58" spans="1:7" x14ac:dyDescent="0.25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 t="s">
        <v>288</v>
      </c>
      <c r="G58" t="s">
        <v>287</v>
      </c>
    </row>
    <row r="59" spans="1:7" x14ac:dyDescent="0.25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 t="s">
        <v>293</v>
      </c>
      <c r="G59" t="s">
        <v>292</v>
      </c>
    </row>
    <row r="60" spans="1:7" x14ac:dyDescent="0.25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t="s">
        <v>298</v>
      </c>
      <c r="G60" t="s">
        <v>297</v>
      </c>
    </row>
    <row r="61" spans="1:7" x14ac:dyDescent="0.25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t="s">
        <v>303</v>
      </c>
      <c r="G61" t="s">
        <v>302</v>
      </c>
    </row>
    <row r="62" spans="1:7" x14ac:dyDescent="0.25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t="s">
        <v>308</v>
      </c>
      <c r="G62" t="s">
        <v>307</v>
      </c>
    </row>
    <row r="63" spans="1:7" x14ac:dyDescent="0.25">
      <c r="A63" t="s">
        <v>311</v>
      </c>
      <c r="B63" t="s">
        <v>312</v>
      </c>
      <c r="C63" t="s">
        <v>313</v>
      </c>
      <c r="D63" t="s">
        <v>314</v>
      </c>
      <c r="E63" t="s">
        <v>315</v>
      </c>
      <c r="F63" t="s">
        <v>313</v>
      </c>
      <c r="G63" t="s">
        <v>312</v>
      </c>
    </row>
    <row r="64" spans="1:7" x14ac:dyDescent="0.25">
      <c r="A64" t="s">
        <v>316</v>
      </c>
      <c r="B64" t="s">
        <v>317</v>
      </c>
      <c r="C64" t="s">
        <v>318</v>
      </c>
      <c r="D64" t="s">
        <v>319</v>
      </c>
      <c r="E64" t="s">
        <v>320</v>
      </c>
      <c r="F64" t="s">
        <v>318</v>
      </c>
      <c r="G64" t="s">
        <v>317</v>
      </c>
    </row>
    <row r="65" spans="1:7" x14ac:dyDescent="0.25">
      <c r="A65" t="s">
        <v>321</v>
      </c>
      <c r="B65" t="s">
        <v>322</v>
      </c>
      <c r="C65" t="s">
        <v>323</v>
      </c>
      <c r="D65" t="s">
        <v>324</v>
      </c>
      <c r="E65" t="s">
        <v>325</v>
      </c>
      <c r="F65" t="s">
        <v>323</v>
      </c>
      <c r="G65" t="s">
        <v>322</v>
      </c>
    </row>
    <row r="66" spans="1:7" x14ac:dyDescent="0.25">
      <c r="A66" t="s">
        <v>326</v>
      </c>
      <c r="B66" t="s">
        <v>327</v>
      </c>
      <c r="C66" t="s">
        <v>328</v>
      </c>
      <c r="D66" t="s">
        <v>329</v>
      </c>
      <c r="E66" t="s">
        <v>330</v>
      </c>
      <c r="F66" t="s">
        <v>328</v>
      </c>
      <c r="G66" t="s">
        <v>327</v>
      </c>
    </row>
    <row r="67" spans="1:7" x14ac:dyDescent="0.25">
      <c r="A67" t="s">
        <v>331</v>
      </c>
      <c r="B67" t="s">
        <v>332</v>
      </c>
      <c r="C67" t="s">
        <v>333</v>
      </c>
      <c r="D67" t="s">
        <v>334</v>
      </c>
      <c r="E67" t="s">
        <v>335</v>
      </c>
      <c r="F67" t="s">
        <v>333</v>
      </c>
      <c r="G67" t="s">
        <v>332</v>
      </c>
    </row>
    <row r="68" spans="1:7" x14ac:dyDescent="0.25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338</v>
      </c>
      <c r="G68" t="s">
        <v>337</v>
      </c>
    </row>
    <row r="69" spans="1:7" x14ac:dyDescent="0.25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343</v>
      </c>
      <c r="G69" t="s">
        <v>342</v>
      </c>
    </row>
    <row r="70" spans="1:7" x14ac:dyDescent="0.25">
      <c r="A70" t="s">
        <v>346</v>
      </c>
      <c r="B70" t="s">
        <v>347</v>
      </c>
      <c r="C70" t="s">
        <v>348</v>
      </c>
      <c r="D70" t="s">
        <v>349</v>
      </c>
      <c r="E70" t="s">
        <v>350</v>
      </c>
      <c r="F70" t="s">
        <v>348</v>
      </c>
      <c r="G70" t="s">
        <v>347</v>
      </c>
    </row>
    <row r="71" spans="1:7" x14ac:dyDescent="0.25">
      <c r="A71" t="s">
        <v>351</v>
      </c>
      <c r="B71" t="s">
        <v>352</v>
      </c>
      <c r="C71" t="s">
        <v>353</v>
      </c>
      <c r="D71" t="s">
        <v>354</v>
      </c>
      <c r="E71" t="s">
        <v>355</v>
      </c>
      <c r="F71" t="s">
        <v>353</v>
      </c>
      <c r="G71" t="s">
        <v>352</v>
      </c>
    </row>
    <row r="72" spans="1:7" x14ac:dyDescent="0.25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358</v>
      </c>
      <c r="G72" t="s">
        <v>357</v>
      </c>
    </row>
    <row r="73" spans="1:7" x14ac:dyDescent="0.25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363</v>
      </c>
      <c r="G73" t="s">
        <v>362</v>
      </c>
    </row>
    <row r="74" spans="1:7" x14ac:dyDescent="0.25">
      <c r="A74" t="s">
        <v>366</v>
      </c>
      <c r="B74" t="s">
        <v>367</v>
      </c>
      <c r="C74" t="s">
        <v>368</v>
      </c>
      <c r="D74" t="s">
        <v>369</v>
      </c>
      <c r="E74" t="s">
        <v>370</v>
      </c>
      <c r="F74" t="s">
        <v>368</v>
      </c>
      <c r="G74" t="s">
        <v>367</v>
      </c>
    </row>
    <row r="75" spans="1:7" x14ac:dyDescent="0.25">
      <c r="A75" t="s">
        <v>371</v>
      </c>
      <c r="B75" t="s">
        <v>372</v>
      </c>
      <c r="C75" t="s">
        <v>373</v>
      </c>
      <c r="D75" t="s">
        <v>374</v>
      </c>
      <c r="E75" t="s">
        <v>375</v>
      </c>
      <c r="F75" t="s">
        <v>373</v>
      </c>
      <c r="G75" t="s">
        <v>372</v>
      </c>
    </row>
    <row r="76" spans="1:7" x14ac:dyDescent="0.25">
      <c r="A76" t="s">
        <v>376</v>
      </c>
      <c r="B76" t="s">
        <v>377</v>
      </c>
      <c r="C76" t="s">
        <v>378</v>
      </c>
      <c r="D76" t="s">
        <v>379</v>
      </c>
      <c r="E76" t="s">
        <v>380</v>
      </c>
      <c r="F76" t="s">
        <v>378</v>
      </c>
      <c r="G76" t="s">
        <v>377</v>
      </c>
    </row>
    <row r="77" spans="1:7" x14ac:dyDescent="0.25">
      <c r="A77" t="s">
        <v>381</v>
      </c>
      <c r="B77" t="s">
        <v>382</v>
      </c>
      <c r="C77" t="s">
        <v>383</v>
      </c>
      <c r="D77" t="s">
        <v>384</v>
      </c>
      <c r="E77" t="s">
        <v>385</v>
      </c>
      <c r="F77" t="s">
        <v>383</v>
      </c>
      <c r="G77" t="s">
        <v>382</v>
      </c>
    </row>
    <row r="78" spans="1:7" x14ac:dyDescent="0.25">
      <c r="A78" t="s">
        <v>386</v>
      </c>
      <c r="B78" t="s">
        <v>387</v>
      </c>
      <c r="C78" t="s">
        <v>388</v>
      </c>
      <c r="D78" t="s">
        <v>389</v>
      </c>
      <c r="E78" t="s">
        <v>390</v>
      </c>
      <c r="F78" t="s">
        <v>388</v>
      </c>
      <c r="G78" t="s">
        <v>387</v>
      </c>
    </row>
    <row r="79" spans="1:7" x14ac:dyDescent="0.25">
      <c r="A79" t="s">
        <v>391</v>
      </c>
      <c r="B79" t="s">
        <v>392</v>
      </c>
      <c r="C79" t="s">
        <v>393</v>
      </c>
      <c r="D79" t="s">
        <v>394</v>
      </c>
      <c r="E79" t="s">
        <v>395</v>
      </c>
      <c r="F79" t="s">
        <v>393</v>
      </c>
      <c r="G79" t="s">
        <v>392</v>
      </c>
    </row>
    <row r="80" spans="1:7" x14ac:dyDescent="0.25">
      <c r="A80" t="s">
        <v>396</v>
      </c>
      <c r="B80" t="s">
        <v>397</v>
      </c>
      <c r="C80" t="s">
        <v>398</v>
      </c>
      <c r="D80" t="s">
        <v>399</v>
      </c>
      <c r="E80" t="s">
        <v>400</v>
      </c>
      <c r="F80" t="s">
        <v>398</v>
      </c>
      <c r="G80" t="s">
        <v>397</v>
      </c>
    </row>
    <row r="81" spans="1:7" x14ac:dyDescent="0.25">
      <c r="A81" t="s">
        <v>401</v>
      </c>
      <c r="B81" t="s">
        <v>402</v>
      </c>
      <c r="C81" t="s">
        <v>403</v>
      </c>
      <c r="D81" t="s">
        <v>404</v>
      </c>
      <c r="E81" t="s">
        <v>405</v>
      </c>
      <c r="F81" t="s">
        <v>403</v>
      </c>
      <c r="G81" t="s">
        <v>402</v>
      </c>
    </row>
    <row r="82" spans="1:7" x14ac:dyDescent="0.25">
      <c r="A82" t="s">
        <v>406</v>
      </c>
      <c r="B82" t="s">
        <v>407</v>
      </c>
      <c r="C82" t="s">
        <v>408</v>
      </c>
      <c r="D82" t="s">
        <v>409</v>
      </c>
      <c r="E82" t="s">
        <v>410</v>
      </c>
      <c r="F82" t="s">
        <v>408</v>
      </c>
      <c r="G82" t="s">
        <v>407</v>
      </c>
    </row>
    <row r="83" spans="1:7" x14ac:dyDescent="0.25">
      <c r="A83" t="s">
        <v>411</v>
      </c>
      <c r="B83" t="s">
        <v>412</v>
      </c>
      <c r="C83" t="s">
        <v>413</v>
      </c>
      <c r="D83" t="s">
        <v>414</v>
      </c>
      <c r="E83" t="s">
        <v>415</v>
      </c>
      <c r="F83" t="s">
        <v>413</v>
      </c>
      <c r="G83" t="s">
        <v>412</v>
      </c>
    </row>
    <row r="84" spans="1:7" x14ac:dyDescent="0.25">
      <c r="A84" t="s">
        <v>416</v>
      </c>
      <c r="B84" t="s">
        <v>417</v>
      </c>
      <c r="C84" t="s">
        <v>418</v>
      </c>
      <c r="D84" t="s">
        <v>419</v>
      </c>
      <c r="E84" t="s">
        <v>420</v>
      </c>
      <c r="F84" t="s">
        <v>418</v>
      </c>
      <c r="G84" t="s">
        <v>417</v>
      </c>
    </row>
    <row r="85" spans="1:7" x14ac:dyDescent="0.25">
      <c r="A85" t="s">
        <v>421</v>
      </c>
      <c r="B85" t="s">
        <v>422</v>
      </c>
      <c r="C85" t="s">
        <v>423</v>
      </c>
      <c r="D85" t="s">
        <v>424</v>
      </c>
      <c r="E85" t="s">
        <v>425</v>
      </c>
      <c r="F85" t="s">
        <v>423</v>
      </c>
      <c r="G85" t="s">
        <v>422</v>
      </c>
    </row>
    <row r="86" spans="1:7" x14ac:dyDescent="0.25">
      <c r="A86" t="s">
        <v>426</v>
      </c>
      <c r="B86" t="s">
        <v>427</v>
      </c>
      <c r="C86" t="s">
        <v>428</v>
      </c>
      <c r="D86" t="s">
        <v>429</v>
      </c>
      <c r="E86" t="s">
        <v>430</v>
      </c>
      <c r="F86" t="s">
        <v>428</v>
      </c>
      <c r="G86" t="s">
        <v>427</v>
      </c>
    </row>
    <row r="87" spans="1:7" x14ac:dyDescent="0.25">
      <c r="A87" t="s">
        <v>431</v>
      </c>
      <c r="B87" t="s">
        <v>432</v>
      </c>
      <c r="C87" t="s">
        <v>433</v>
      </c>
      <c r="D87" t="s">
        <v>434</v>
      </c>
      <c r="E87" t="s">
        <v>435</v>
      </c>
      <c r="F87" t="s">
        <v>433</v>
      </c>
      <c r="G87" t="s">
        <v>432</v>
      </c>
    </row>
    <row r="88" spans="1:7" x14ac:dyDescent="0.25">
      <c r="A88" t="s">
        <v>436</v>
      </c>
      <c r="B88" t="s">
        <v>437</v>
      </c>
      <c r="C88" t="s">
        <v>438</v>
      </c>
      <c r="D88" t="s">
        <v>439</v>
      </c>
      <c r="E88" t="s">
        <v>440</v>
      </c>
      <c r="F88" t="s">
        <v>438</v>
      </c>
      <c r="G88" t="s">
        <v>437</v>
      </c>
    </row>
    <row r="89" spans="1:7" x14ac:dyDescent="0.25">
      <c r="A89" t="s">
        <v>441</v>
      </c>
      <c r="B89" t="s">
        <v>442</v>
      </c>
      <c r="C89" t="s">
        <v>443</v>
      </c>
      <c r="D89" t="s">
        <v>444</v>
      </c>
      <c r="E89" t="s">
        <v>445</v>
      </c>
      <c r="F89" t="s">
        <v>443</v>
      </c>
      <c r="G89" t="s">
        <v>442</v>
      </c>
    </row>
    <row r="90" spans="1:7" x14ac:dyDescent="0.25">
      <c r="A90" t="s">
        <v>446</v>
      </c>
      <c r="B90" t="s">
        <v>447</v>
      </c>
      <c r="C90" t="s">
        <v>448</v>
      </c>
      <c r="D90" t="s">
        <v>449</v>
      </c>
      <c r="E90" t="s">
        <v>450</v>
      </c>
      <c r="F90" t="s">
        <v>448</v>
      </c>
      <c r="G90" t="s">
        <v>447</v>
      </c>
    </row>
    <row r="91" spans="1:7" x14ac:dyDescent="0.25">
      <c r="A91" t="s">
        <v>451</v>
      </c>
      <c r="B91" t="s">
        <v>452</v>
      </c>
      <c r="C91" t="s">
        <v>453</v>
      </c>
      <c r="D91" t="s">
        <v>454</v>
      </c>
      <c r="E91" t="s">
        <v>455</v>
      </c>
      <c r="F91" t="s">
        <v>453</v>
      </c>
      <c r="G91" t="s">
        <v>452</v>
      </c>
    </row>
    <row r="92" spans="1:7" x14ac:dyDescent="0.25">
      <c r="A92" t="s">
        <v>456</v>
      </c>
      <c r="B92" t="s">
        <v>457</v>
      </c>
      <c r="C92" t="s">
        <v>458</v>
      </c>
      <c r="D92" t="s">
        <v>459</v>
      </c>
      <c r="E92" t="s">
        <v>460</v>
      </c>
      <c r="F92" t="s">
        <v>458</v>
      </c>
      <c r="G92" t="s">
        <v>457</v>
      </c>
    </row>
    <row r="93" spans="1:7" x14ac:dyDescent="0.25">
      <c r="A93" t="s">
        <v>461</v>
      </c>
      <c r="B93" t="s">
        <v>462</v>
      </c>
      <c r="C93" t="s">
        <v>463</v>
      </c>
      <c r="D93" t="s">
        <v>464</v>
      </c>
      <c r="E93" t="s">
        <v>465</v>
      </c>
      <c r="F93" t="s">
        <v>463</v>
      </c>
      <c r="G93" t="s">
        <v>462</v>
      </c>
    </row>
    <row r="94" spans="1:7" x14ac:dyDescent="0.25">
      <c r="A94" t="s">
        <v>466</v>
      </c>
      <c r="B94" t="s">
        <v>467</v>
      </c>
      <c r="C94" t="s">
        <v>468</v>
      </c>
      <c r="D94" t="s">
        <v>469</v>
      </c>
      <c r="E94" t="s">
        <v>470</v>
      </c>
      <c r="F94" t="s">
        <v>468</v>
      </c>
      <c r="G94" t="s">
        <v>467</v>
      </c>
    </row>
    <row r="95" spans="1:7" x14ac:dyDescent="0.25">
      <c r="A95" t="s">
        <v>471</v>
      </c>
      <c r="B95" t="s">
        <v>472</v>
      </c>
      <c r="C95" t="s">
        <v>473</v>
      </c>
      <c r="D95" t="s">
        <v>474</v>
      </c>
      <c r="E95" t="s">
        <v>475</v>
      </c>
      <c r="F95" t="s">
        <v>473</v>
      </c>
      <c r="G95" t="s">
        <v>472</v>
      </c>
    </row>
    <row r="96" spans="1:7" x14ac:dyDescent="0.25">
      <c r="A96" t="s">
        <v>476</v>
      </c>
      <c r="B96" t="s">
        <v>477</v>
      </c>
      <c r="C96" t="s">
        <v>478</v>
      </c>
      <c r="D96" t="s">
        <v>479</v>
      </c>
      <c r="E96" t="s">
        <v>480</v>
      </c>
      <c r="F96" t="s">
        <v>478</v>
      </c>
      <c r="G96" t="s">
        <v>477</v>
      </c>
    </row>
    <row r="97" spans="1:7" x14ac:dyDescent="0.25">
      <c r="A97" t="s">
        <v>481</v>
      </c>
      <c r="B97" t="s">
        <v>482</v>
      </c>
      <c r="C97" t="s">
        <v>483</v>
      </c>
      <c r="D97" t="s">
        <v>484</v>
      </c>
      <c r="E97" t="s">
        <v>485</v>
      </c>
      <c r="F97" t="s">
        <v>483</v>
      </c>
      <c r="G97" t="s">
        <v>482</v>
      </c>
    </row>
    <row r="98" spans="1:7" x14ac:dyDescent="0.25">
      <c r="A98" t="s">
        <v>486</v>
      </c>
      <c r="B98" t="s">
        <v>487</v>
      </c>
      <c r="C98" t="s">
        <v>488</v>
      </c>
      <c r="D98" t="s">
        <v>489</v>
      </c>
      <c r="E98" t="s">
        <v>490</v>
      </c>
      <c r="F98" t="s">
        <v>488</v>
      </c>
      <c r="G98" t="s">
        <v>487</v>
      </c>
    </row>
    <row r="99" spans="1:7" x14ac:dyDescent="0.25">
      <c r="A99" t="s">
        <v>491</v>
      </c>
      <c r="B99" t="s">
        <v>492</v>
      </c>
      <c r="C99" t="s">
        <v>493</v>
      </c>
      <c r="D99" t="s">
        <v>494</v>
      </c>
      <c r="E99" t="s">
        <v>495</v>
      </c>
      <c r="F99" t="s">
        <v>493</v>
      </c>
      <c r="G99" t="s">
        <v>492</v>
      </c>
    </row>
    <row r="100" spans="1:7" x14ac:dyDescent="0.25">
      <c r="A100" t="s">
        <v>496</v>
      </c>
      <c r="B100" t="s">
        <v>497</v>
      </c>
      <c r="C100" t="s">
        <v>498</v>
      </c>
      <c r="D100" t="s">
        <v>499</v>
      </c>
      <c r="E100" t="s">
        <v>500</v>
      </c>
      <c r="F100" t="s">
        <v>498</v>
      </c>
      <c r="G100" t="s">
        <v>497</v>
      </c>
    </row>
    <row r="101" spans="1:7" x14ac:dyDescent="0.25">
      <c r="A101" t="s">
        <v>501</v>
      </c>
      <c r="B101" t="s">
        <v>502</v>
      </c>
      <c r="C101" t="s">
        <v>503</v>
      </c>
      <c r="D101" t="s">
        <v>504</v>
      </c>
      <c r="E101" t="s">
        <v>505</v>
      </c>
      <c r="F101" t="s">
        <v>503</v>
      </c>
      <c r="G101" t="s">
        <v>502</v>
      </c>
    </row>
    <row r="102" spans="1:7" x14ac:dyDescent="0.25">
      <c r="A102" t="s">
        <v>506</v>
      </c>
      <c r="B102" t="s">
        <v>507</v>
      </c>
      <c r="C102" t="s">
        <v>508</v>
      </c>
      <c r="D102" t="s">
        <v>509</v>
      </c>
      <c r="E102" t="s">
        <v>510</v>
      </c>
      <c r="F102" t="s">
        <v>508</v>
      </c>
      <c r="G102" t="s">
        <v>507</v>
      </c>
    </row>
    <row r="103" spans="1:7" x14ac:dyDescent="0.25">
      <c r="A103" t="s">
        <v>511</v>
      </c>
      <c r="B103" t="s">
        <v>512</v>
      </c>
      <c r="C103" t="s">
        <v>513</v>
      </c>
      <c r="D103" t="s">
        <v>514</v>
      </c>
      <c r="E103" t="s">
        <v>515</v>
      </c>
      <c r="F103" t="s">
        <v>513</v>
      </c>
      <c r="G103" t="s">
        <v>512</v>
      </c>
    </row>
    <row r="104" spans="1:7" x14ac:dyDescent="0.25">
      <c r="A104" t="s">
        <v>516</v>
      </c>
      <c r="B104" t="s">
        <v>517</v>
      </c>
      <c r="C104" t="s">
        <v>518</v>
      </c>
      <c r="D104" t="s">
        <v>519</v>
      </c>
      <c r="E104" t="s">
        <v>520</v>
      </c>
      <c r="F104" t="s">
        <v>518</v>
      </c>
      <c r="G104" t="s">
        <v>517</v>
      </c>
    </row>
    <row r="105" spans="1:7" x14ac:dyDescent="0.25">
      <c r="A105" t="s">
        <v>521</v>
      </c>
      <c r="B105" t="s">
        <v>522</v>
      </c>
      <c r="C105" t="s">
        <v>523</v>
      </c>
      <c r="D105" t="s">
        <v>524</v>
      </c>
      <c r="E105" t="s">
        <v>525</v>
      </c>
      <c r="F105" t="s">
        <v>523</v>
      </c>
      <c r="G105" t="s">
        <v>522</v>
      </c>
    </row>
    <row r="106" spans="1:7" x14ac:dyDescent="0.25">
      <c r="A106" t="s">
        <v>526</v>
      </c>
      <c r="B106" t="s">
        <v>527</v>
      </c>
      <c r="C106" t="s">
        <v>528</v>
      </c>
      <c r="D106" t="s">
        <v>529</v>
      </c>
      <c r="E106" t="s">
        <v>530</v>
      </c>
      <c r="F106" t="s">
        <v>528</v>
      </c>
      <c r="G106" t="s">
        <v>527</v>
      </c>
    </row>
    <row r="107" spans="1:7" x14ac:dyDescent="0.25">
      <c r="A107" t="s">
        <v>531</v>
      </c>
      <c r="B107" t="s">
        <v>532</v>
      </c>
      <c r="C107" t="s">
        <v>533</v>
      </c>
      <c r="D107" t="s">
        <v>534</v>
      </c>
      <c r="E107" t="s">
        <v>535</v>
      </c>
      <c r="F107" t="s">
        <v>533</v>
      </c>
      <c r="G107" t="s">
        <v>532</v>
      </c>
    </row>
    <row r="108" spans="1:7" x14ac:dyDescent="0.25">
      <c r="A108" t="s">
        <v>536</v>
      </c>
      <c r="B108" t="s">
        <v>537</v>
      </c>
      <c r="C108" t="s">
        <v>538</v>
      </c>
      <c r="D108" t="s">
        <v>539</v>
      </c>
      <c r="E108" t="s">
        <v>540</v>
      </c>
      <c r="F108" t="s">
        <v>538</v>
      </c>
      <c r="G108" t="s">
        <v>537</v>
      </c>
    </row>
    <row r="109" spans="1:7" x14ac:dyDescent="0.25">
      <c r="A109" t="s">
        <v>541</v>
      </c>
      <c r="B109" t="s">
        <v>542</v>
      </c>
      <c r="C109" t="s">
        <v>543</v>
      </c>
      <c r="D109" t="s">
        <v>544</v>
      </c>
      <c r="E109" t="s">
        <v>545</v>
      </c>
      <c r="F109" t="s">
        <v>543</v>
      </c>
      <c r="G109" t="s">
        <v>542</v>
      </c>
    </row>
    <row r="110" spans="1:7" x14ac:dyDescent="0.25">
      <c r="A110" t="s">
        <v>546</v>
      </c>
      <c r="B110" t="s">
        <v>547</v>
      </c>
      <c r="C110" t="s">
        <v>548</v>
      </c>
      <c r="D110" t="s">
        <v>549</v>
      </c>
      <c r="E110" t="s">
        <v>550</v>
      </c>
      <c r="F110" t="s">
        <v>548</v>
      </c>
      <c r="G110" t="s">
        <v>547</v>
      </c>
    </row>
    <row r="111" spans="1:7" x14ac:dyDescent="0.25">
      <c r="A111" t="s">
        <v>551</v>
      </c>
      <c r="B111" t="s">
        <v>552</v>
      </c>
      <c r="C111" t="s">
        <v>553</v>
      </c>
      <c r="D111" t="s">
        <v>554</v>
      </c>
      <c r="E111" t="s">
        <v>555</v>
      </c>
      <c r="F111" t="s">
        <v>553</v>
      </c>
      <c r="G111" t="s">
        <v>552</v>
      </c>
    </row>
    <row r="112" spans="1:7" x14ac:dyDescent="0.25">
      <c r="A112" t="s">
        <v>556</v>
      </c>
      <c r="B112" t="s">
        <v>557</v>
      </c>
      <c r="C112" t="s">
        <v>558</v>
      </c>
      <c r="D112" t="s">
        <v>559</v>
      </c>
      <c r="E112" t="s">
        <v>560</v>
      </c>
      <c r="F112" t="s">
        <v>558</v>
      </c>
      <c r="G112" t="s">
        <v>557</v>
      </c>
    </row>
    <row r="113" spans="1:7" x14ac:dyDescent="0.25">
      <c r="A113" t="s">
        <v>561</v>
      </c>
      <c r="B113" t="s">
        <v>562</v>
      </c>
      <c r="C113" t="s">
        <v>563</v>
      </c>
      <c r="D113" t="s">
        <v>564</v>
      </c>
      <c r="E113" t="s">
        <v>565</v>
      </c>
      <c r="F113" t="s">
        <v>563</v>
      </c>
      <c r="G113" t="s">
        <v>562</v>
      </c>
    </row>
    <row r="114" spans="1:7" x14ac:dyDescent="0.25">
      <c r="A114" t="s">
        <v>566</v>
      </c>
      <c r="B114" t="s">
        <v>567</v>
      </c>
      <c r="C114" t="s">
        <v>568</v>
      </c>
      <c r="D114" t="s">
        <v>569</v>
      </c>
      <c r="E114" t="s">
        <v>570</v>
      </c>
      <c r="F114" t="s">
        <v>568</v>
      </c>
      <c r="G114" t="s">
        <v>567</v>
      </c>
    </row>
    <row r="115" spans="1:7" x14ac:dyDescent="0.25">
      <c r="A115" t="s">
        <v>571</v>
      </c>
      <c r="B115" t="s">
        <v>572</v>
      </c>
      <c r="C115" t="s">
        <v>573</v>
      </c>
      <c r="D115" t="s">
        <v>574</v>
      </c>
      <c r="E115" t="s">
        <v>575</v>
      </c>
      <c r="F115" t="s">
        <v>573</v>
      </c>
      <c r="G115" t="s">
        <v>572</v>
      </c>
    </row>
    <row r="116" spans="1:7" x14ac:dyDescent="0.25">
      <c r="A116" t="s">
        <v>576</v>
      </c>
      <c r="B116" t="s">
        <v>577</v>
      </c>
      <c r="C116" t="s">
        <v>578</v>
      </c>
      <c r="D116" t="s">
        <v>579</v>
      </c>
      <c r="E116" t="s">
        <v>580</v>
      </c>
      <c r="F116" t="s">
        <v>578</v>
      </c>
      <c r="G116" t="s">
        <v>577</v>
      </c>
    </row>
    <row r="117" spans="1:7" x14ac:dyDescent="0.25">
      <c r="A117" t="s">
        <v>581</v>
      </c>
      <c r="B117" t="s">
        <v>582</v>
      </c>
      <c r="C117" t="s">
        <v>583</v>
      </c>
      <c r="D117" t="s">
        <v>584</v>
      </c>
      <c r="E117" t="s">
        <v>585</v>
      </c>
      <c r="F117" t="s">
        <v>583</v>
      </c>
      <c r="G117" t="s">
        <v>582</v>
      </c>
    </row>
    <row r="118" spans="1:7" x14ac:dyDescent="0.25">
      <c r="A118" t="s">
        <v>586</v>
      </c>
      <c r="B118" t="s">
        <v>587</v>
      </c>
      <c r="C118" t="s">
        <v>588</v>
      </c>
      <c r="D118" t="s">
        <v>589</v>
      </c>
      <c r="E118" t="s">
        <v>590</v>
      </c>
      <c r="F118" t="s">
        <v>588</v>
      </c>
      <c r="G118" t="s">
        <v>587</v>
      </c>
    </row>
    <row r="119" spans="1:7" x14ac:dyDescent="0.25">
      <c r="A119" t="s">
        <v>591</v>
      </c>
      <c r="B119" t="s">
        <v>592</v>
      </c>
      <c r="C119" t="s">
        <v>593</v>
      </c>
      <c r="D119" t="s">
        <v>594</v>
      </c>
      <c r="E119" t="s">
        <v>595</v>
      </c>
      <c r="F119" t="s">
        <v>593</v>
      </c>
      <c r="G119" t="s">
        <v>592</v>
      </c>
    </row>
    <row r="120" spans="1:7" x14ac:dyDescent="0.25">
      <c r="A120" t="s">
        <v>596</v>
      </c>
      <c r="B120" t="s">
        <v>597</v>
      </c>
      <c r="C120" t="s">
        <v>598</v>
      </c>
      <c r="D120" t="s">
        <v>599</v>
      </c>
      <c r="E120" t="s">
        <v>600</v>
      </c>
      <c r="F120" t="s">
        <v>598</v>
      </c>
      <c r="G120" t="s">
        <v>597</v>
      </c>
    </row>
    <row r="121" spans="1:7" x14ac:dyDescent="0.25">
      <c r="A121" t="s">
        <v>601</v>
      </c>
      <c r="B121" t="s">
        <v>602</v>
      </c>
      <c r="C121" t="s">
        <v>603</v>
      </c>
      <c r="D121" t="s">
        <v>604</v>
      </c>
      <c r="E121" t="s">
        <v>605</v>
      </c>
      <c r="F121" t="s">
        <v>603</v>
      </c>
      <c r="G121" t="s">
        <v>602</v>
      </c>
    </row>
    <row r="122" spans="1:7" x14ac:dyDescent="0.25">
      <c r="A122" t="s">
        <v>606</v>
      </c>
      <c r="B122" t="s">
        <v>607</v>
      </c>
      <c r="C122" t="s">
        <v>608</v>
      </c>
      <c r="D122" t="s">
        <v>609</v>
      </c>
      <c r="E122" t="s">
        <v>610</v>
      </c>
      <c r="F122" t="s">
        <v>608</v>
      </c>
      <c r="G122" t="s">
        <v>607</v>
      </c>
    </row>
    <row r="123" spans="1:7" x14ac:dyDescent="0.25">
      <c r="A123" t="s">
        <v>611</v>
      </c>
      <c r="B123" t="s">
        <v>612</v>
      </c>
      <c r="C123" t="s">
        <v>613</v>
      </c>
      <c r="D123" t="s">
        <v>614</v>
      </c>
      <c r="E123" t="s">
        <v>615</v>
      </c>
      <c r="F123" t="s">
        <v>613</v>
      </c>
      <c r="G123" t="s">
        <v>612</v>
      </c>
    </row>
    <row r="124" spans="1:7" x14ac:dyDescent="0.25">
      <c r="A124" t="s">
        <v>616</v>
      </c>
      <c r="B124" t="s">
        <v>617</v>
      </c>
      <c r="C124" t="s">
        <v>618</v>
      </c>
      <c r="D124" t="s">
        <v>619</v>
      </c>
      <c r="E124" t="s">
        <v>620</v>
      </c>
      <c r="F124" t="s">
        <v>618</v>
      </c>
      <c r="G124" t="s">
        <v>617</v>
      </c>
    </row>
    <row r="125" spans="1:7" x14ac:dyDescent="0.25">
      <c r="A125" t="s">
        <v>621</v>
      </c>
      <c r="B125" t="s">
        <v>622</v>
      </c>
      <c r="C125" t="s">
        <v>623</v>
      </c>
      <c r="D125" t="s">
        <v>624</v>
      </c>
      <c r="E125" t="s">
        <v>625</v>
      </c>
      <c r="F125" t="s">
        <v>623</v>
      </c>
      <c r="G125" t="s">
        <v>622</v>
      </c>
    </row>
    <row r="126" spans="1:7" x14ac:dyDescent="0.25">
      <c r="A126" t="s">
        <v>626</v>
      </c>
      <c r="B126" t="s">
        <v>627</v>
      </c>
      <c r="C126" t="s">
        <v>628</v>
      </c>
      <c r="D126" t="s">
        <v>629</v>
      </c>
      <c r="E126" t="s">
        <v>630</v>
      </c>
      <c r="F126" t="s">
        <v>628</v>
      </c>
      <c r="G126" t="s">
        <v>627</v>
      </c>
    </row>
    <row r="127" spans="1:7" x14ac:dyDescent="0.25">
      <c r="A127" t="s">
        <v>631</v>
      </c>
      <c r="B127" t="s">
        <v>632</v>
      </c>
      <c r="C127" t="s">
        <v>633</v>
      </c>
      <c r="D127" t="s">
        <v>634</v>
      </c>
      <c r="E127" t="s">
        <v>635</v>
      </c>
      <c r="F127" t="s">
        <v>633</v>
      </c>
      <c r="G127" t="s">
        <v>632</v>
      </c>
    </row>
    <row r="128" spans="1:7" x14ac:dyDescent="0.25">
      <c r="A128" t="s">
        <v>636</v>
      </c>
      <c r="B128" t="s">
        <v>637</v>
      </c>
      <c r="C128" t="s">
        <v>638</v>
      </c>
      <c r="D128" t="s">
        <v>639</v>
      </c>
      <c r="E128" t="s">
        <v>640</v>
      </c>
      <c r="F128" t="s">
        <v>638</v>
      </c>
      <c r="G128" t="s">
        <v>637</v>
      </c>
    </row>
    <row r="129" spans="1:7" x14ac:dyDescent="0.25">
      <c r="A129" t="s">
        <v>641</v>
      </c>
      <c r="B129" t="s">
        <v>642</v>
      </c>
      <c r="C129" t="s">
        <v>643</v>
      </c>
      <c r="D129" t="s">
        <v>644</v>
      </c>
      <c r="E129" t="s">
        <v>645</v>
      </c>
      <c r="F129" t="s">
        <v>643</v>
      </c>
      <c r="G129" t="s">
        <v>642</v>
      </c>
    </row>
    <row r="130" spans="1:7" x14ac:dyDescent="0.25">
      <c r="A130" t="s">
        <v>646</v>
      </c>
      <c r="B130" t="s">
        <v>647</v>
      </c>
      <c r="C130" t="s">
        <v>648</v>
      </c>
      <c r="D130" t="s">
        <v>649</v>
      </c>
      <c r="E130" t="s">
        <v>650</v>
      </c>
      <c r="F130" t="s">
        <v>648</v>
      </c>
      <c r="G130" t="s">
        <v>647</v>
      </c>
    </row>
    <row r="131" spans="1:7" x14ac:dyDescent="0.25">
      <c r="A131" t="s">
        <v>651</v>
      </c>
      <c r="B131" t="s">
        <v>652</v>
      </c>
      <c r="C131" t="s">
        <v>653</v>
      </c>
      <c r="D131" t="s">
        <v>654</v>
      </c>
      <c r="E131" t="s">
        <v>655</v>
      </c>
      <c r="F131" t="s">
        <v>653</v>
      </c>
      <c r="G131" t="s">
        <v>652</v>
      </c>
    </row>
    <row r="132" spans="1:7" x14ac:dyDescent="0.25">
      <c r="A132" t="s">
        <v>656</v>
      </c>
      <c r="B132" t="s">
        <v>657</v>
      </c>
      <c r="C132" t="s">
        <v>658</v>
      </c>
      <c r="D132" t="s">
        <v>659</v>
      </c>
      <c r="E132" t="s">
        <v>660</v>
      </c>
      <c r="F132" t="s">
        <v>658</v>
      </c>
      <c r="G132" t="s">
        <v>657</v>
      </c>
    </row>
    <row r="133" spans="1:7" x14ac:dyDescent="0.25">
      <c r="A133" t="s">
        <v>661</v>
      </c>
      <c r="B133" t="s">
        <v>662</v>
      </c>
      <c r="C133" t="s">
        <v>663</v>
      </c>
      <c r="D133" t="s">
        <v>664</v>
      </c>
      <c r="E133" t="s">
        <v>665</v>
      </c>
      <c r="F133" t="s">
        <v>663</v>
      </c>
      <c r="G133" t="s">
        <v>662</v>
      </c>
    </row>
    <row r="134" spans="1:7" x14ac:dyDescent="0.25">
      <c r="A134" t="s">
        <v>666</v>
      </c>
      <c r="B134" t="s">
        <v>667</v>
      </c>
      <c r="C134" t="s">
        <v>668</v>
      </c>
      <c r="D134" t="s">
        <v>669</v>
      </c>
      <c r="E134" t="s">
        <v>670</v>
      </c>
      <c r="F134" t="s">
        <v>668</v>
      </c>
      <c r="G134" t="s">
        <v>667</v>
      </c>
    </row>
    <row r="135" spans="1:7" x14ac:dyDescent="0.25">
      <c r="A135" t="s">
        <v>671</v>
      </c>
      <c r="B135" t="s">
        <v>672</v>
      </c>
      <c r="C135" t="s">
        <v>673</v>
      </c>
      <c r="D135" t="s">
        <v>674</v>
      </c>
      <c r="E135" t="s">
        <v>675</v>
      </c>
      <c r="F135" t="s">
        <v>673</v>
      </c>
      <c r="G135" t="s">
        <v>672</v>
      </c>
    </row>
    <row r="136" spans="1:7" x14ac:dyDescent="0.25">
      <c r="A136" t="s">
        <v>676</v>
      </c>
      <c r="B136" t="s">
        <v>677</v>
      </c>
      <c r="C136" t="s">
        <v>678</v>
      </c>
      <c r="D136" t="s">
        <v>679</v>
      </c>
      <c r="E136" t="s">
        <v>680</v>
      </c>
      <c r="F136" t="s">
        <v>678</v>
      </c>
      <c r="G136" t="s">
        <v>677</v>
      </c>
    </row>
    <row r="137" spans="1:7" x14ac:dyDescent="0.25">
      <c r="A137" t="s">
        <v>681</v>
      </c>
      <c r="B137" t="s">
        <v>682</v>
      </c>
      <c r="C137" t="s">
        <v>683</v>
      </c>
      <c r="D137" t="s">
        <v>684</v>
      </c>
      <c r="E137" t="s">
        <v>685</v>
      </c>
      <c r="F137" t="s">
        <v>683</v>
      </c>
      <c r="G137" t="s">
        <v>682</v>
      </c>
    </row>
    <row r="138" spans="1:7" x14ac:dyDescent="0.25">
      <c r="A138" t="s">
        <v>686</v>
      </c>
      <c r="B138" t="s">
        <v>687</v>
      </c>
      <c r="C138" t="s">
        <v>688</v>
      </c>
      <c r="D138" t="s">
        <v>689</v>
      </c>
      <c r="E138" t="s">
        <v>690</v>
      </c>
      <c r="F138" t="s">
        <v>688</v>
      </c>
      <c r="G138" t="s">
        <v>687</v>
      </c>
    </row>
    <row r="139" spans="1:7" x14ac:dyDescent="0.25">
      <c r="A139" t="s">
        <v>691</v>
      </c>
      <c r="B139" t="s">
        <v>692</v>
      </c>
      <c r="C139" t="s">
        <v>693</v>
      </c>
      <c r="D139" t="s">
        <v>694</v>
      </c>
      <c r="E139" t="s">
        <v>695</v>
      </c>
      <c r="F139" t="s">
        <v>693</v>
      </c>
      <c r="G139" t="s">
        <v>692</v>
      </c>
    </row>
    <row r="140" spans="1:7" x14ac:dyDescent="0.25">
      <c r="A140" t="s">
        <v>696</v>
      </c>
      <c r="B140" t="s">
        <v>697</v>
      </c>
      <c r="C140" t="s">
        <v>698</v>
      </c>
      <c r="D140" t="s">
        <v>699</v>
      </c>
      <c r="E140" t="s">
        <v>700</v>
      </c>
      <c r="F140" t="s">
        <v>698</v>
      </c>
      <c r="G140" t="s">
        <v>697</v>
      </c>
    </row>
    <row r="141" spans="1:7" x14ac:dyDescent="0.25">
      <c r="A141" t="s">
        <v>701</v>
      </c>
      <c r="B141" t="s">
        <v>702</v>
      </c>
      <c r="C141" t="s">
        <v>703</v>
      </c>
      <c r="D141" t="s">
        <v>704</v>
      </c>
      <c r="E141" t="s">
        <v>705</v>
      </c>
      <c r="F141" t="s">
        <v>703</v>
      </c>
      <c r="G141" t="s">
        <v>702</v>
      </c>
    </row>
    <row r="142" spans="1:7" x14ac:dyDescent="0.25">
      <c r="A142" t="s">
        <v>706</v>
      </c>
      <c r="B142" t="s">
        <v>707</v>
      </c>
      <c r="C142" t="s">
        <v>708</v>
      </c>
      <c r="D142" t="s">
        <v>709</v>
      </c>
      <c r="E142" t="s">
        <v>710</v>
      </c>
      <c r="F142" t="s">
        <v>708</v>
      </c>
      <c r="G142" t="s">
        <v>707</v>
      </c>
    </row>
    <row r="143" spans="1:7" x14ac:dyDescent="0.25">
      <c r="A143" t="s">
        <v>711</v>
      </c>
      <c r="B143" t="s">
        <v>712</v>
      </c>
      <c r="C143" t="s">
        <v>713</v>
      </c>
      <c r="D143" t="s">
        <v>714</v>
      </c>
      <c r="E143" t="s">
        <v>715</v>
      </c>
      <c r="F143" t="s">
        <v>713</v>
      </c>
      <c r="G143" t="s">
        <v>712</v>
      </c>
    </row>
    <row r="144" spans="1:7" x14ac:dyDescent="0.25">
      <c r="A144" t="s">
        <v>716</v>
      </c>
      <c r="B144" t="s">
        <v>717</v>
      </c>
      <c r="C144" t="s">
        <v>718</v>
      </c>
      <c r="D144" t="s">
        <v>719</v>
      </c>
      <c r="E144" t="s">
        <v>720</v>
      </c>
      <c r="F144" t="s">
        <v>718</v>
      </c>
      <c r="G144" t="s">
        <v>717</v>
      </c>
    </row>
    <row r="145" spans="1:7" x14ac:dyDescent="0.25">
      <c r="A145" t="s">
        <v>721</v>
      </c>
      <c r="B145" t="s">
        <v>722</v>
      </c>
      <c r="C145" t="s">
        <v>723</v>
      </c>
      <c r="D145" t="s">
        <v>724</v>
      </c>
      <c r="E145" t="s">
        <v>725</v>
      </c>
      <c r="F145" t="s">
        <v>723</v>
      </c>
      <c r="G145" t="s">
        <v>722</v>
      </c>
    </row>
    <row r="146" spans="1:7" x14ac:dyDescent="0.25">
      <c r="A146" t="s">
        <v>726</v>
      </c>
      <c r="B146" t="s">
        <v>727</v>
      </c>
      <c r="C146" t="s">
        <v>728</v>
      </c>
      <c r="D146" t="s">
        <v>729</v>
      </c>
      <c r="E146" t="s">
        <v>730</v>
      </c>
      <c r="F146" t="s">
        <v>728</v>
      </c>
      <c r="G146" t="s">
        <v>727</v>
      </c>
    </row>
    <row r="147" spans="1:7" x14ac:dyDescent="0.25">
      <c r="A147" t="s">
        <v>731</v>
      </c>
      <c r="B147" t="s">
        <v>732</v>
      </c>
      <c r="C147" t="s">
        <v>733</v>
      </c>
      <c r="D147" t="s">
        <v>734</v>
      </c>
      <c r="E147" t="s">
        <v>735</v>
      </c>
      <c r="F147" t="s">
        <v>733</v>
      </c>
      <c r="G147" t="s">
        <v>732</v>
      </c>
    </row>
    <row r="148" spans="1:7" x14ac:dyDescent="0.25">
      <c r="A148" t="s">
        <v>736</v>
      </c>
      <c r="B148" t="s">
        <v>737</v>
      </c>
      <c r="C148" t="s">
        <v>738</v>
      </c>
      <c r="D148" t="s">
        <v>739</v>
      </c>
      <c r="E148" t="s">
        <v>740</v>
      </c>
      <c r="F148" t="s">
        <v>738</v>
      </c>
      <c r="G148" t="s">
        <v>737</v>
      </c>
    </row>
    <row r="149" spans="1:7" x14ac:dyDescent="0.25">
      <c r="A149" t="s">
        <v>741</v>
      </c>
      <c r="B149" t="s">
        <v>742</v>
      </c>
      <c r="C149" t="s">
        <v>743</v>
      </c>
      <c r="D149" t="s">
        <v>744</v>
      </c>
      <c r="E149" t="s">
        <v>745</v>
      </c>
      <c r="F149" t="s">
        <v>743</v>
      </c>
      <c r="G149" t="s">
        <v>742</v>
      </c>
    </row>
    <row r="150" spans="1:7" x14ac:dyDescent="0.25">
      <c r="A150" t="s">
        <v>746</v>
      </c>
      <c r="B150" t="s">
        <v>747</v>
      </c>
      <c r="C150" t="s">
        <v>748</v>
      </c>
      <c r="D150" t="s">
        <v>749</v>
      </c>
      <c r="E150" t="s">
        <v>750</v>
      </c>
      <c r="F150" t="s">
        <v>748</v>
      </c>
      <c r="G150" t="s">
        <v>747</v>
      </c>
    </row>
    <row r="151" spans="1:7" x14ac:dyDescent="0.25">
      <c r="A151" t="s">
        <v>751</v>
      </c>
      <c r="B151" t="s">
        <v>752</v>
      </c>
      <c r="C151" t="s">
        <v>753</v>
      </c>
      <c r="D151" t="s">
        <v>754</v>
      </c>
      <c r="E151" t="s">
        <v>755</v>
      </c>
      <c r="F151" t="s">
        <v>753</v>
      </c>
      <c r="G151" t="s">
        <v>752</v>
      </c>
    </row>
    <row r="152" spans="1:7" x14ac:dyDescent="0.25">
      <c r="A152" t="s">
        <v>756</v>
      </c>
      <c r="B152" t="s">
        <v>757</v>
      </c>
      <c r="C152" t="s">
        <v>758</v>
      </c>
      <c r="D152" t="s">
        <v>759</v>
      </c>
      <c r="E152" t="s">
        <v>760</v>
      </c>
      <c r="F152" t="s">
        <v>758</v>
      </c>
      <c r="G152" t="s">
        <v>757</v>
      </c>
    </row>
    <row r="153" spans="1:7" x14ac:dyDescent="0.25">
      <c r="A153" t="s">
        <v>761</v>
      </c>
      <c r="B153" t="s">
        <v>762</v>
      </c>
      <c r="C153" t="s">
        <v>763</v>
      </c>
      <c r="D153" t="s">
        <v>764</v>
      </c>
      <c r="E153" t="s">
        <v>765</v>
      </c>
      <c r="F153" t="s">
        <v>763</v>
      </c>
      <c r="G153" t="s">
        <v>762</v>
      </c>
    </row>
    <row r="154" spans="1:7" x14ac:dyDescent="0.25">
      <c r="A154" t="s">
        <v>766</v>
      </c>
      <c r="B154" t="s">
        <v>767</v>
      </c>
      <c r="C154" t="s">
        <v>768</v>
      </c>
      <c r="D154" t="s">
        <v>769</v>
      </c>
      <c r="E154" t="s">
        <v>770</v>
      </c>
      <c r="F154" t="s">
        <v>768</v>
      </c>
      <c r="G154" t="s">
        <v>767</v>
      </c>
    </row>
    <row r="155" spans="1:7" x14ac:dyDescent="0.25">
      <c r="A155" t="s">
        <v>771</v>
      </c>
      <c r="B155" t="s">
        <v>772</v>
      </c>
      <c r="C155" t="s">
        <v>773</v>
      </c>
      <c r="D155" t="s">
        <v>774</v>
      </c>
      <c r="E155" t="s">
        <v>775</v>
      </c>
      <c r="F155" t="s">
        <v>773</v>
      </c>
      <c r="G155" t="s">
        <v>772</v>
      </c>
    </row>
    <row r="156" spans="1:7" x14ac:dyDescent="0.25">
      <c r="A156" t="s">
        <v>776</v>
      </c>
      <c r="B156" t="s">
        <v>777</v>
      </c>
      <c r="C156" t="s">
        <v>778</v>
      </c>
      <c r="D156" t="s">
        <v>779</v>
      </c>
      <c r="E156" t="s">
        <v>780</v>
      </c>
      <c r="F156" t="s">
        <v>778</v>
      </c>
      <c r="G156" t="s">
        <v>777</v>
      </c>
    </row>
    <row r="157" spans="1:7" x14ac:dyDescent="0.25">
      <c r="A157" t="s">
        <v>781</v>
      </c>
      <c r="B157" t="s">
        <v>782</v>
      </c>
      <c r="C157" t="s">
        <v>783</v>
      </c>
      <c r="D157" t="s">
        <v>784</v>
      </c>
      <c r="E157" t="s">
        <v>785</v>
      </c>
      <c r="F157" t="s">
        <v>783</v>
      </c>
      <c r="G157" t="s">
        <v>782</v>
      </c>
    </row>
    <row r="158" spans="1:7" x14ac:dyDescent="0.25">
      <c r="A158" t="s">
        <v>786</v>
      </c>
      <c r="B158" t="s">
        <v>787</v>
      </c>
      <c r="C158" t="s">
        <v>788</v>
      </c>
      <c r="D158" t="s">
        <v>789</v>
      </c>
      <c r="E158" t="s">
        <v>790</v>
      </c>
      <c r="F158" t="s">
        <v>788</v>
      </c>
      <c r="G158" t="s">
        <v>787</v>
      </c>
    </row>
    <row r="159" spans="1:7" x14ac:dyDescent="0.25">
      <c r="A159" t="s">
        <v>791</v>
      </c>
      <c r="B159" t="s">
        <v>792</v>
      </c>
      <c r="C159" t="s">
        <v>793</v>
      </c>
      <c r="D159" t="s">
        <v>794</v>
      </c>
      <c r="E159" t="s">
        <v>795</v>
      </c>
      <c r="F159" t="s">
        <v>793</v>
      </c>
      <c r="G159" t="s">
        <v>792</v>
      </c>
    </row>
    <row r="160" spans="1:7" x14ac:dyDescent="0.25">
      <c r="A160" t="s">
        <v>796</v>
      </c>
      <c r="B160" t="s">
        <v>797</v>
      </c>
      <c r="C160" t="s">
        <v>798</v>
      </c>
      <c r="D160" t="s">
        <v>799</v>
      </c>
      <c r="E160" t="s">
        <v>800</v>
      </c>
      <c r="F160" t="s">
        <v>798</v>
      </c>
      <c r="G160" t="s">
        <v>797</v>
      </c>
    </row>
    <row r="161" spans="1:7" x14ac:dyDescent="0.25">
      <c r="A161" t="s">
        <v>801</v>
      </c>
      <c r="B161" t="s">
        <v>802</v>
      </c>
      <c r="C161" t="s">
        <v>803</v>
      </c>
      <c r="D161" t="s">
        <v>804</v>
      </c>
      <c r="E161" t="s">
        <v>805</v>
      </c>
      <c r="F161" t="s">
        <v>803</v>
      </c>
      <c r="G161" t="s">
        <v>802</v>
      </c>
    </row>
    <row r="162" spans="1:7" x14ac:dyDescent="0.25">
      <c r="A162" t="s">
        <v>806</v>
      </c>
      <c r="B162" t="s">
        <v>807</v>
      </c>
      <c r="C162" t="s">
        <v>808</v>
      </c>
      <c r="D162" t="s">
        <v>809</v>
      </c>
      <c r="E162" t="s">
        <v>810</v>
      </c>
      <c r="F162" t="s">
        <v>808</v>
      </c>
      <c r="G162" t="s">
        <v>807</v>
      </c>
    </row>
    <row r="163" spans="1:7" x14ac:dyDescent="0.25">
      <c r="A163" t="s">
        <v>811</v>
      </c>
      <c r="B163" t="s">
        <v>812</v>
      </c>
      <c r="C163" t="s">
        <v>813</v>
      </c>
      <c r="D163" t="s">
        <v>814</v>
      </c>
      <c r="E163" t="s">
        <v>815</v>
      </c>
      <c r="F163" t="s">
        <v>813</v>
      </c>
      <c r="G163" t="s">
        <v>812</v>
      </c>
    </row>
    <row r="164" spans="1:7" x14ac:dyDescent="0.25">
      <c r="A164" t="s">
        <v>816</v>
      </c>
      <c r="B164" t="s">
        <v>817</v>
      </c>
      <c r="C164" t="s">
        <v>818</v>
      </c>
      <c r="D164" t="s">
        <v>819</v>
      </c>
      <c r="E164" t="s">
        <v>820</v>
      </c>
      <c r="F164" t="s">
        <v>818</v>
      </c>
      <c r="G164" t="s">
        <v>817</v>
      </c>
    </row>
    <row r="165" spans="1:7" x14ac:dyDescent="0.25">
      <c r="A165" t="s">
        <v>821</v>
      </c>
      <c r="B165" t="s">
        <v>822</v>
      </c>
      <c r="C165" t="s">
        <v>823</v>
      </c>
      <c r="D165" t="s">
        <v>824</v>
      </c>
      <c r="E165" t="s">
        <v>825</v>
      </c>
      <c r="F165" t="s">
        <v>823</v>
      </c>
      <c r="G165" t="s">
        <v>822</v>
      </c>
    </row>
    <row r="166" spans="1:7" x14ac:dyDescent="0.25">
      <c r="A166" t="s">
        <v>826</v>
      </c>
      <c r="B166" t="s">
        <v>827</v>
      </c>
      <c r="C166" t="s">
        <v>828</v>
      </c>
      <c r="D166" t="s">
        <v>829</v>
      </c>
      <c r="E166" t="s">
        <v>830</v>
      </c>
      <c r="F166" t="s">
        <v>828</v>
      </c>
      <c r="G166" t="s">
        <v>827</v>
      </c>
    </row>
    <row r="167" spans="1:7" x14ac:dyDescent="0.25">
      <c r="A167" t="s">
        <v>831</v>
      </c>
      <c r="B167" t="s">
        <v>832</v>
      </c>
      <c r="C167" t="s">
        <v>833</v>
      </c>
      <c r="D167" t="s">
        <v>834</v>
      </c>
      <c r="E167" t="s">
        <v>835</v>
      </c>
      <c r="F167" t="s">
        <v>833</v>
      </c>
      <c r="G167" t="s">
        <v>832</v>
      </c>
    </row>
    <row r="168" spans="1:7" x14ac:dyDescent="0.25">
      <c r="A168" t="s">
        <v>836</v>
      </c>
      <c r="B168" t="s">
        <v>837</v>
      </c>
      <c r="C168" t="s">
        <v>838</v>
      </c>
      <c r="D168" t="s">
        <v>839</v>
      </c>
      <c r="E168" t="s">
        <v>840</v>
      </c>
      <c r="F168" t="s">
        <v>838</v>
      </c>
      <c r="G168" t="s">
        <v>837</v>
      </c>
    </row>
    <row r="169" spans="1:7" x14ac:dyDescent="0.25">
      <c r="A169" t="s">
        <v>841</v>
      </c>
      <c r="B169" t="s">
        <v>842</v>
      </c>
      <c r="C169" t="s">
        <v>843</v>
      </c>
      <c r="D169" t="s">
        <v>844</v>
      </c>
      <c r="E169" t="s">
        <v>845</v>
      </c>
      <c r="F169" t="s">
        <v>843</v>
      </c>
      <c r="G169" t="s">
        <v>842</v>
      </c>
    </row>
    <row r="170" spans="1:7" x14ac:dyDescent="0.25">
      <c r="A170" t="s">
        <v>846</v>
      </c>
      <c r="B170" t="s">
        <v>847</v>
      </c>
      <c r="C170" t="s">
        <v>848</v>
      </c>
      <c r="D170" t="s">
        <v>849</v>
      </c>
      <c r="E170" t="s">
        <v>850</v>
      </c>
      <c r="F170" t="s">
        <v>848</v>
      </c>
      <c r="G170" t="s">
        <v>847</v>
      </c>
    </row>
    <row r="171" spans="1:7" x14ac:dyDescent="0.25">
      <c r="A171" t="s">
        <v>851</v>
      </c>
      <c r="B171" t="s">
        <v>852</v>
      </c>
      <c r="C171" t="s">
        <v>853</v>
      </c>
      <c r="D171" t="s">
        <v>854</v>
      </c>
      <c r="E171" t="s">
        <v>855</v>
      </c>
      <c r="F171" t="s">
        <v>853</v>
      </c>
      <c r="G171" t="s">
        <v>852</v>
      </c>
    </row>
    <row r="172" spans="1:7" x14ac:dyDescent="0.25">
      <c r="A172" t="s">
        <v>856</v>
      </c>
      <c r="B172" t="s">
        <v>857</v>
      </c>
      <c r="C172" t="s">
        <v>858</v>
      </c>
      <c r="D172" t="s">
        <v>859</v>
      </c>
      <c r="E172" t="s">
        <v>860</v>
      </c>
      <c r="F172" t="s">
        <v>858</v>
      </c>
      <c r="G172" t="s">
        <v>857</v>
      </c>
    </row>
    <row r="173" spans="1:7" x14ac:dyDescent="0.25">
      <c r="A173" t="s">
        <v>861</v>
      </c>
      <c r="B173" t="s">
        <v>862</v>
      </c>
      <c r="C173" t="s">
        <v>863</v>
      </c>
      <c r="D173" t="s">
        <v>864</v>
      </c>
      <c r="E173" t="s">
        <v>865</v>
      </c>
      <c r="F173" t="s">
        <v>863</v>
      </c>
      <c r="G173" t="s">
        <v>862</v>
      </c>
    </row>
    <row r="174" spans="1:7" x14ac:dyDescent="0.25">
      <c r="A174" t="s">
        <v>866</v>
      </c>
      <c r="B174" t="s">
        <v>867</v>
      </c>
      <c r="C174" t="s">
        <v>868</v>
      </c>
      <c r="D174" t="s">
        <v>869</v>
      </c>
      <c r="E174" t="s">
        <v>870</v>
      </c>
      <c r="F174" t="s">
        <v>868</v>
      </c>
      <c r="G174" t="s">
        <v>867</v>
      </c>
    </row>
    <row r="175" spans="1:7" x14ac:dyDescent="0.25">
      <c r="A175" t="s">
        <v>871</v>
      </c>
      <c r="B175" t="s">
        <v>872</v>
      </c>
      <c r="C175" t="s">
        <v>873</v>
      </c>
      <c r="D175" t="s">
        <v>874</v>
      </c>
      <c r="E175" t="s">
        <v>875</v>
      </c>
      <c r="F175" t="s">
        <v>873</v>
      </c>
      <c r="G175" t="s">
        <v>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Tham chiếu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VHSON</cp:lastModifiedBy>
  <dcterms:created xsi:type="dcterms:W3CDTF">2026-08-22T12:53:56Z</dcterms:created>
  <dcterms:modified xsi:type="dcterms:W3CDTF">2026-08-22T15:50:18Z</dcterms:modified>
</cp:coreProperties>
</file>