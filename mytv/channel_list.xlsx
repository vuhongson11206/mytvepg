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ropbox\IPTV_OPENWRT\"/>
    </mc:Choice>
  </mc:AlternateContent>
  <xr:revisionPtr revIDLastSave="0" documentId="13_ncr:1_{4D957E7D-278A-4F12-933B-F3803841428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_xlnm._FilterDatabase" localSheetId="0" hidden="1">Sheet1!$A$1:$K$189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3" i="1" l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G2" i="1"/>
  <c r="E2" i="1"/>
  <c r="F8" i="1"/>
  <c r="F77" i="1"/>
  <c r="F79" i="1"/>
  <c r="F88" i="1"/>
  <c r="F93" i="1"/>
  <c r="F94" i="1"/>
  <c r="F133" i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" i="2"/>
  <c r="D250" i="2"/>
  <c r="C250" i="2"/>
  <c r="D249" i="2"/>
  <c r="C249" i="2"/>
  <c r="D248" i="2"/>
  <c r="C248" i="2"/>
  <c r="D247" i="2"/>
  <c r="C247" i="2"/>
  <c r="D246" i="2"/>
  <c r="C246" i="2"/>
  <c r="D245" i="2"/>
  <c r="C245" i="2"/>
  <c r="D244" i="2"/>
  <c r="C244" i="2"/>
  <c r="D243" i="2"/>
  <c r="C243" i="2"/>
  <c r="D242" i="2"/>
  <c r="C242" i="2"/>
  <c r="D241" i="2"/>
  <c r="C241" i="2"/>
  <c r="D240" i="2"/>
  <c r="C240" i="2"/>
  <c r="D239" i="2"/>
  <c r="C239" i="2"/>
  <c r="D238" i="2"/>
  <c r="C238" i="2"/>
  <c r="D237" i="2"/>
  <c r="C237" i="2"/>
  <c r="D236" i="2"/>
  <c r="C236" i="2"/>
  <c r="D235" i="2"/>
  <c r="C235" i="2"/>
  <c r="D234" i="2"/>
  <c r="C234" i="2"/>
  <c r="D233" i="2"/>
  <c r="C233" i="2"/>
  <c r="D232" i="2"/>
  <c r="C232" i="2"/>
  <c r="D231" i="2"/>
  <c r="C231" i="2"/>
  <c r="D230" i="2"/>
  <c r="C230" i="2"/>
  <c r="D229" i="2"/>
  <c r="C229" i="2"/>
  <c r="D228" i="2"/>
  <c r="C228" i="2"/>
  <c r="D227" i="2"/>
  <c r="C227" i="2"/>
  <c r="D226" i="2"/>
  <c r="C226" i="2"/>
  <c r="D225" i="2"/>
  <c r="C225" i="2"/>
  <c r="D224" i="2"/>
  <c r="C224" i="2"/>
  <c r="D223" i="2"/>
  <c r="C223" i="2"/>
  <c r="D222" i="2"/>
  <c r="C222" i="2"/>
  <c r="D221" i="2"/>
  <c r="C221" i="2"/>
  <c r="D220" i="2"/>
  <c r="C220" i="2"/>
  <c r="D219" i="2"/>
  <c r="C219" i="2"/>
  <c r="D218" i="2"/>
  <c r="C218" i="2"/>
  <c r="D217" i="2"/>
  <c r="C217" i="2"/>
  <c r="D216" i="2"/>
  <c r="C216" i="2"/>
  <c r="D215" i="2"/>
  <c r="C215" i="2"/>
  <c r="D214" i="2"/>
  <c r="C214" i="2"/>
  <c r="D213" i="2"/>
  <c r="C213" i="2"/>
  <c r="D212" i="2"/>
  <c r="C212" i="2"/>
  <c r="D211" i="2"/>
  <c r="C211" i="2"/>
  <c r="D210" i="2"/>
  <c r="C210" i="2"/>
  <c r="D209" i="2"/>
  <c r="C209" i="2"/>
  <c r="D208" i="2"/>
  <c r="C208" i="2"/>
  <c r="D207" i="2"/>
  <c r="C207" i="2"/>
  <c r="D206" i="2"/>
  <c r="C206" i="2"/>
  <c r="D205" i="2"/>
  <c r="C205" i="2"/>
  <c r="D204" i="2"/>
  <c r="C204" i="2"/>
  <c r="D203" i="2"/>
  <c r="C203" i="2"/>
  <c r="D202" i="2"/>
  <c r="C202" i="2"/>
  <c r="D201" i="2"/>
  <c r="C201" i="2"/>
  <c r="D200" i="2"/>
  <c r="C200" i="2"/>
  <c r="D199" i="2"/>
  <c r="C199" i="2"/>
  <c r="D198" i="2"/>
  <c r="C198" i="2"/>
  <c r="D197" i="2"/>
  <c r="C197" i="2"/>
  <c r="D196" i="2"/>
  <c r="C196" i="2"/>
  <c r="D195" i="2"/>
  <c r="C195" i="2"/>
  <c r="D194" i="2"/>
  <c r="C194" i="2"/>
  <c r="D193" i="2"/>
  <c r="C193" i="2"/>
  <c r="D192" i="2"/>
  <c r="C192" i="2"/>
  <c r="D191" i="2"/>
  <c r="C191" i="2"/>
  <c r="D190" i="2"/>
  <c r="C190" i="2"/>
  <c r="D189" i="2"/>
  <c r="C189" i="2"/>
  <c r="D188" i="2"/>
  <c r="C188" i="2"/>
  <c r="D187" i="2"/>
  <c r="C187" i="2"/>
  <c r="D186" i="2"/>
  <c r="C186" i="2"/>
  <c r="D185" i="2"/>
  <c r="C185" i="2"/>
  <c r="D184" i="2"/>
  <c r="C184" i="2"/>
  <c r="D183" i="2"/>
  <c r="C183" i="2"/>
  <c r="D182" i="2"/>
  <c r="C182" i="2"/>
  <c r="D181" i="2"/>
  <c r="C181" i="2"/>
  <c r="D180" i="2"/>
  <c r="C180" i="2"/>
  <c r="D179" i="2"/>
  <c r="C179" i="2"/>
  <c r="D178" i="2"/>
  <c r="C178" i="2"/>
  <c r="D177" i="2"/>
  <c r="C177" i="2"/>
  <c r="D176" i="2"/>
  <c r="C176" i="2"/>
  <c r="D175" i="2"/>
  <c r="C175" i="2"/>
  <c r="D174" i="2"/>
  <c r="C174" i="2"/>
  <c r="D173" i="2"/>
  <c r="C173" i="2"/>
  <c r="D172" i="2"/>
  <c r="C172" i="2"/>
  <c r="D171" i="2"/>
  <c r="C171" i="2"/>
  <c r="D170" i="2"/>
  <c r="C170" i="2"/>
  <c r="D169" i="2"/>
  <c r="C169" i="2"/>
  <c r="D168" i="2"/>
  <c r="C168" i="2"/>
  <c r="D167" i="2"/>
  <c r="C167" i="2"/>
  <c r="D166" i="2"/>
  <c r="C166" i="2"/>
  <c r="D165" i="2"/>
  <c r="C165" i="2"/>
  <c r="D164" i="2"/>
  <c r="C164" i="2"/>
  <c r="D163" i="2"/>
  <c r="C163" i="2"/>
  <c r="D162" i="2"/>
  <c r="C162" i="2"/>
  <c r="D161" i="2"/>
  <c r="C161" i="2"/>
  <c r="D160" i="2"/>
  <c r="C160" i="2"/>
  <c r="D159" i="2"/>
  <c r="C159" i="2"/>
  <c r="D158" i="2"/>
  <c r="C158" i="2"/>
  <c r="D157" i="2"/>
  <c r="C157" i="2"/>
  <c r="D156" i="2"/>
  <c r="C156" i="2"/>
  <c r="D155" i="2"/>
  <c r="C155" i="2"/>
  <c r="D154" i="2"/>
  <c r="C154" i="2"/>
  <c r="D153" i="2"/>
  <c r="C153" i="2"/>
  <c r="D152" i="2"/>
  <c r="C152" i="2"/>
  <c r="D151" i="2"/>
  <c r="C151" i="2"/>
  <c r="D150" i="2"/>
  <c r="C150" i="2"/>
  <c r="D149" i="2"/>
  <c r="C149" i="2"/>
  <c r="D148" i="2"/>
  <c r="C148" i="2"/>
  <c r="D147" i="2"/>
  <c r="C147" i="2"/>
  <c r="D146" i="2"/>
  <c r="C146" i="2"/>
  <c r="D145" i="2"/>
  <c r="C145" i="2"/>
  <c r="D144" i="2"/>
  <c r="C144" i="2"/>
  <c r="D143" i="2"/>
  <c r="C143" i="2"/>
  <c r="D142" i="2"/>
  <c r="C142" i="2"/>
  <c r="D141" i="2"/>
  <c r="C141" i="2"/>
  <c r="D140" i="2"/>
  <c r="C140" i="2"/>
  <c r="D139" i="2"/>
  <c r="C139" i="2"/>
  <c r="D138" i="2"/>
  <c r="C138" i="2"/>
  <c r="D137" i="2"/>
  <c r="C137" i="2"/>
  <c r="D136" i="2"/>
  <c r="C136" i="2"/>
  <c r="D135" i="2"/>
  <c r="C135" i="2"/>
  <c r="D134" i="2"/>
  <c r="C134" i="2"/>
  <c r="E134" i="2" s="1"/>
  <c r="D133" i="2"/>
  <c r="C133" i="2"/>
  <c r="D132" i="2"/>
  <c r="C132" i="2"/>
  <c r="D131" i="2"/>
  <c r="C131" i="2"/>
  <c r="D130" i="2"/>
  <c r="C130" i="2"/>
  <c r="D129" i="2"/>
  <c r="C129" i="2"/>
  <c r="D128" i="2"/>
  <c r="C128" i="2"/>
  <c r="D127" i="2"/>
  <c r="C127" i="2"/>
  <c r="D126" i="2"/>
  <c r="C126" i="2"/>
  <c r="D125" i="2"/>
  <c r="C125" i="2"/>
  <c r="D124" i="2"/>
  <c r="C124" i="2"/>
  <c r="D123" i="2"/>
  <c r="C123" i="2"/>
  <c r="D122" i="2"/>
  <c r="C122" i="2"/>
  <c r="D121" i="2"/>
  <c r="C121" i="2"/>
  <c r="D120" i="2"/>
  <c r="C120" i="2"/>
  <c r="D119" i="2"/>
  <c r="C119" i="2"/>
  <c r="D118" i="2"/>
  <c r="C118" i="2"/>
  <c r="D117" i="2"/>
  <c r="C117" i="2"/>
  <c r="D116" i="2"/>
  <c r="C116" i="2"/>
  <c r="D115" i="2"/>
  <c r="C115" i="2"/>
  <c r="D114" i="2"/>
  <c r="C114" i="2"/>
  <c r="D113" i="2"/>
  <c r="C113" i="2"/>
  <c r="D112" i="2"/>
  <c r="C112" i="2"/>
  <c r="D111" i="2"/>
  <c r="C111" i="2"/>
  <c r="D110" i="2"/>
  <c r="C110" i="2"/>
  <c r="D109" i="2"/>
  <c r="C109" i="2"/>
  <c r="D108" i="2"/>
  <c r="C108" i="2"/>
  <c r="D107" i="2"/>
  <c r="C107" i="2"/>
  <c r="D106" i="2"/>
  <c r="C106" i="2"/>
  <c r="D105" i="2"/>
  <c r="C105" i="2"/>
  <c r="D104" i="2"/>
  <c r="C104" i="2"/>
  <c r="D103" i="2"/>
  <c r="C103" i="2"/>
  <c r="D102" i="2"/>
  <c r="C102" i="2"/>
  <c r="D101" i="2"/>
  <c r="C101" i="2"/>
  <c r="D100" i="2"/>
  <c r="C100" i="2"/>
  <c r="D99" i="2"/>
  <c r="C99" i="2"/>
  <c r="D98" i="2"/>
  <c r="C98" i="2"/>
  <c r="D97" i="2"/>
  <c r="C97" i="2"/>
  <c r="D96" i="2"/>
  <c r="C96" i="2"/>
  <c r="D95" i="2"/>
  <c r="C95" i="2"/>
  <c r="D94" i="2"/>
  <c r="C94" i="2"/>
  <c r="D93" i="2"/>
  <c r="C93" i="2"/>
  <c r="D92" i="2"/>
  <c r="C92" i="2"/>
  <c r="D91" i="2"/>
  <c r="C91" i="2"/>
  <c r="D90" i="2"/>
  <c r="C90" i="2"/>
  <c r="D89" i="2"/>
  <c r="C89" i="2"/>
  <c r="D88" i="2"/>
  <c r="C88" i="2"/>
  <c r="D87" i="2"/>
  <c r="C87" i="2"/>
  <c r="D86" i="2"/>
  <c r="C86" i="2"/>
  <c r="D85" i="2"/>
  <c r="C85" i="2"/>
  <c r="D84" i="2"/>
  <c r="C84" i="2"/>
  <c r="D83" i="2"/>
  <c r="C83" i="2"/>
  <c r="D82" i="2"/>
  <c r="C82" i="2"/>
  <c r="D81" i="2"/>
  <c r="C81" i="2"/>
  <c r="D80" i="2"/>
  <c r="C80" i="2"/>
  <c r="D79" i="2"/>
  <c r="C79" i="2"/>
  <c r="D78" i="2"/>
  <c r="C78" i="2"/>
  <c r="D77" i="2"/>
  <c r="C77" i="2"/>
  <c r="D76" i="2"/>
  <c r="C76" i="2"/>
  <c r="D75" i="2"/>
  <c r="C75" i="2"/>
  <c r="D74" i="2"/>
  <c r="C74" i="2"/>
  <c r="D73" i="2"/>
  <c r="C73" i="2"/>
  <c r="D72" i="2"/>
  <c r="C72" i="2"/>
  <c r="D71" i="2"/>
  <c r="C71" i="2"/>
  <c r="D70" i="2"/>
  <c r="C70" i="2"/>
  <c r="D69" i="2"/>
  <c r="C69" i="2"/>
  <c r="D68" i="2"/>
  <c r="C68" i="2"/>
  <c r="D67" i="2"/>
  <c r="C67" i="2"/>
  <c r="D66" i="2"/>
  <c r="C66" i="2"/>
  <c r="D65" i="2"/>
  <c r="C65" i="2"/>
  <c r="D64" i="2"/>
  <c r="C64" i="2"/>
  <c r="D63" i="2"/>
  <c r="C63" i="2"/>
  <c r="D62" i="2"/>
  <c r="C62" i="2"/>
  <c r="D61" i="2"/>
  <c r="C61" i="2"/>
  <c r="D60" i="2"/>
  <c r="C60" i="2"/>
  <c r="D59" i="2"/>
  <c r="C59" i="2"/>
  <c r="D58" i="2"/>
  <c r="C58" i="2"/>
  <c r="D57" i="2"/>
  <c r="C57" i="2"/>
  <c r="D56" i="2"/>
  <c r="C56" i="2"/>
  <c r="D55" i="2"/>
  <c r="C55" i="2"/>
  <c r="D54" i="2"/>
  <c r="C54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D2" i="2"/>
  <c r="C2" i="2"/>
  <c r="J139" i="1"/>
  <c r="I139" i="1"/>
  <c r="K139" i="1" s="1"/>
  <c r="H139" i="1"/>
  <c r="J12" i="1"/>
  <c r="I12" i="1"/>
  <c r="K12" i="1" s="1"/>
  <c r="H12" i="1"/>
  <c r="J17" i="1"/>
  <c r="I17" i="1"/>
  <c r="K17" i="1" s="1"/>
  <c r="H17" i="1"/>
  <c r="J62" i="1"/>
  <c r="I62" i="1"/>
  <c r="K62" i="1" s="1"/>
  <c r="H62" i="1"/>
  <c r="J68" i="1"/>
  <c r="I68" i="1"/>
  <c r="K68" i="1" s="1"/>
  <c r="H68" i="1"/>
  <c r="J65" i="1"/>
  <c r="I65" i="1"/>
  <c r="K65" i="1" s="1"/>
  <c r="H65" i="1"/>
  <c r="J138" i="1"/>
  <c r="I138" i="1"/>
  <c r="K138" i="1" s="1"/>
  <c r="H138" i="1"/>
  <c r="J102" i="1"/>
  <c r="I102" i="1"/>
  <c r="K102" i="1" s="1"/>
  <c r="H102" i="1"/>
  <c r="J40" i="1"/>
  <c r="I40" i="1"/>
  <c r="K40" i="1" s="1"/>
  <c r="H40" i="1"/>
  <c r="J64" i="1"/>
  <c r="I64" i="1"/>
  <c r="K64" i="1" s="1"/>
  <c r="H64" i="1"/>
  <c r="J101" i="1"/>
  <c r="I101" i="1"/>
  <c r="K101" i="1" s="1"/>
  <c r="H101" i="1"/>
  <c r="J61" i="1"/>
  <c r="I61" i="1"/>
  <c r="K61" i="1" s="1"/>
  <c r="H61" i="1"/>
  <c r="J100" i="1"/>
  <c r="I100" i="1"/>
  <c r="K100" i="1" s="1"/>
  <c r="H100" i="1"/>
  <c r="J15" i="1"/>
  <c r="I15" i="1"/>
  <c r="K15" i="1" s="1"/>
  <c r="H15" i="1"/>
  <c r="J4" i="1"/>
  <c r="I4" i="1"/>
  <c r="K4" i="1" s="1"/>
  <c r="H4" i="1"/>
  <c r="J5" i="1"/>
  <c r="I5" i="1"/>
  <c r="K5" i="1" s="1"/>
  <c r="H5" i="1"/>
  <c r="J34" i="1"/>
  <c r="I34" i="1"/>
  <c r="K34" i="1" s="1"/>
  <c r="H34" i="1"/>
  <c r="J16" i="1"/>
  <c r="I16" i="1"/>
  <c r="K16" i="1" s="1"/>
  <c r="H16" i="1"/>
  <c r="J35" i="1"/>
  <c r="I35" i="1"/>
  <c r="K35" i="1" s="1"/>
  <c r="H35" i="1"/>
  <c r="J126" i="1"/>
  <c r="I126" i="1"/>
  <c r="K126" i="1" s="1"/>
  <c r="H126" i="1"/>
  <c r="J53" i="1"/>
  <c r="I53" i="1"/>
  <c r="K53" i="1" s="1"/>
  <c r="H53" i="1"/>
  <c r="J32" i="1"/>
  <c r="I32" i="1"/>
  <c r="K32" i="1" s="1"/>
  <c r="H32" i="1"/>
  <c r="J33" i="1"/>
  <c r="I33" i="1"/>
  <c r="K33" i="1" s="1"/>
  <c r="H33" i="1"/>
  <c r="J67" i="1"/>
  <c r="I67" i="1"/>
  <c r="K67" i="1" s="1"/>
  <c r="H67" i="1"/>
  <c r="J27" i="1"/>
  <c r="I27" i="1"/>
  <c r="K27" i="1" s="1"/>
  <c r="H27" i="1"/>
  <c r="J26" i="1"/>
  <c r="I26" i="1"/>
  <c r="K26" i="1" s="1"/>
  <c r="H26" i="1"/>
  <c r="J25" i="1"/>
  <c r="I25" i="1"/>
  <c r="K25" i="1" s="1"/>
  <c r="H25" i="1"/>
  <c r="J43" i="1"/>
  <c r="I43" i="1"/>
  <c r="K43" i="1" s="1"/>
  <c r="H43" i="1"/>
  <c r="J72" i="1"/>
  <c r="I72" i="1"/>
  <c r="K72" i="1" s="1"/>
  <c r="H72" i="1"/>
  <c r="J128" i="1"/>
  <c r="I128" i="1"/>
  <c r="K128" i="1" s="1"/>
  <c r="H128" i="1"/>
  <c r="J74" i="1"/>
  <c r="I74" i="1"/>
  <c r="K74" i="1" s="1"/>
  <c r="H74" i="1"/>
  <c r="J29" i="1"/>
  <c r="I29" i="1"/>
  <c r="K29" i="1" s="1"/>
  <c r="H29" i="1"/>
  <c r="J123" i="1"/>
  <c r="I123" i="1"/>
  <c r="K123" i="1" s="1"/>
  <c r="H123" i="1"/>
  <c r="J31" i="1"/>
  <c r="I31" i="1"/>
  <c r="K31" i="1" s="1"/>
  <c r="H31" i="1"/>
  <c r="J36" i="1"/>
  <c r="I36" i="1"/>
  <c r="K36" i="1" s="1"/>
  <c r="H36" i="1"/>
  <c r="J66" i="1"/>
  <c r="I66" i="1"/>
  <c r="K66" i="1" s="1"/>
  <c r="H66" i="1"/>
  <c r="J96" i="1"/>
  <c r="I96" i="1"/>
  <c r="K96" i="1" s="1"/>
  <c r="H96" i="1"/>
  <c r="J99" i="1"/>
  <c r="I99" i="1"/>
  <c r="K99" i="1" s="1"/>
  <c r="H99" i="1"/>
  <c r="J98" i="1"/>
  <c r="I98" i="1"/>
  <c r="K98" i="1" s="1"/>
  <c r="H98" i="1"/>
  <c r="J70" i="1"/>
  <c r="I70" i="1"/>
  <c r="K70" i="1" s="1"/>
  <c r="H70" i="1"/>
  <c r="J152" i="1"/>
  <c r="I152" i="1"/>
  <c r="K152" i="1" s="1"/>
  <c r="H152" i="1"/>
  <c r="J130" i="1"/>
  <c r="I130" i="1"/>
  <c r="K130" i="1" s="1"/>
  <c r="H130" i="1"/>
  <c r="J3" i="1"/>
  <c r="I3" i="1"/>
  <c r="K3" i="1" s="1"/>
  <c r="H3" i="1"/>
  <c r="J39" i="1"/>
  <c r="I39" i="1"/>
  <c r="K39" i="1" s="1"/>
  <c r="H39" i="1"/>
  <c r="J82" i="1"/>
  <c r="I82" i="1"/>
  <c r="K82" i="1" s="1"/>
  <c r="H82" i="1"/>
  <c r="J81" i="1"/>
  <c r="I81" i="1"/>
  <c r="K81" i="1" s="1"/>
  <c r="H81" i="1"/>
  <c r="J30" i="1"/>
  <c r="I30" i="1"/>
  <c r="K30" i="1" s="1"/>
  <c r="H30" i="1"/>
  <c r="J24" i="1"/>
  <c r="I24" i="1"/>
  <c r="K24" i="1" s="1"/>
  <c r="H24" i="1"/>
  <c r="J20" i="1"/>
  <c r="I20" i="1"/>
  <c r="K20" i="1" s="1"/>
  <c r="H20" i="1"/>
  <c r="J11" i="1"/>
  <c r="I11" i="1"/>
  <c r="K11" i="1" s="1"/>
  <c r="H11" i="1"/>
  <c r="J7" i="1"/>
  <c r="I7" i="1"/>
  <c r="K7" i="1" s="1"/>
  <c r="H7" i="1"/>
  <c r="J131" i="1"/>
  <c r="I131" i="1"/>
  <c r="K131" i="1" s="1"/>
  <c r="H131" i="1"/>
  <c r="J46" i="1"/>
  <c r="I46" i="1"/>
  <c r="K46" i="1" s="1"/>
  <c r="H46" i="1"/>
  <c r="J127" i="1"/>
  <c r="I127" i="1"/>
  <c r="K127" i="1" s="1"/>
  <c r="H127" i="1"/>
  <c r="J18" i="1"/>
  <c r="I18" i="1"/>
  <c r="K18" i="1" s="1"/>
  <c r="H18" i="1"/>
  <c r="J79" i="1"/>
  <c r="I79" i="1"/>
  <c r="K79" i="1" s="1"/>
  <c r="H79" i="1"/>
  <c r="J88" i="1"/>
  <c r="I88" i="1"/>
  <c r="K88" i="1" s="1"/>
  <c r="H88" i="1"/>
  <c r="J84" i="1"/>
  <c r="I84" i="1"/>
  <c r="K84" i="1" s="1"/>
  <c r="H84" i="1"/>
  <c r="J80" i="1"/>
  <c r="I80" i="1"/>
  <c r="K80" i="1" s="1"/>
  <c r="H80" i="1"/>
  <c r="J83" i="1"/>
  <c r="I83" i="1"/>
  <c r="K83" i="1" s="1"/>
  <c r="H83" i="1"/>
  <c r="J42" i="1"/>
  <c r="I42" i="1"/>
  <c r="K42" i="1" s="1"/>
  <c r="H42" i="1"/>
  <c r="J41" i="1"/>
  <c r="I41" i="1"/>
  <c r="K41" i="1" s="1"/>
  <c r="H41" i="1"/>
  <c r="J6" i="1"/>
  <c r="I6" i="1"/>
  <c r="K6" i="1" s="1"/>
  <c r="H6" i="1"/>
  <c r="J9" i="1"/>
  <c r="I9" i="1"/>
  <c r="K9" i="1" s="1"/>
  <c r="H9" i="1"/>
  <c r="J60" i="1"/>
  <c r="I60" i="1"/>
  <c r="K60" i="1" s="1"/>
  <c r="H60" i="1"/>
  <c r="J23" i="1"/>
  <c r="I23" i="1"/>
  <c r="K23" i="1" s="1"/>
  <c r="H23" i="1"/>
  <c r="J44" i="1"/>
  <c r="I44" i="1"/>
  <c r="K44" i="1" s="1"/>
  <c r="H44" i="1"/>
  <c r="J2" i="1"/>
  <c r="I2" i="1"/>
  <c r="K2" i="1" s="1"/>
  <c r="H2" i="1"/>
  <c r="J10" i="1"/>
  <c r="I10" i="1"/>
  <c r="K10" i="1" s="1"/>
  <c r="H10" i="1"/>
  <c r="J129" i="1"/>
  <c r="I129" i="1"/>
  <c r="K129" i="1" s="1"/>
  <c r="H129" i="1"/>
  <c r="J28" i="1"/>
  <c r="I28" i="1"/>
  <c r="K28" i="1" s="1"/>
  <c r="H28" i="1"/>
  <c r="J21" i="1"/>
  <c r="I21" i="1"/>
  <c r="K21" i="1" s="1"/>
  <c r="H21" i="1"/>
  <c r="J57" i="1"/>
  <c r="I57" i="1"/>
  <c r="K57" i="1" s="1"/>
  <c r="H57" i="1"/>
  <c r="J22" i="1"/>
  <c r="I22" i="1"/>
  <c r="K22" i="1" s="1"/>
  <c r="H22" i="1"/>
  <c r="J63" i="1"/>
  <c r="I63" i="1"/>
  <c r="K63" i="1" s="1"/>
  <c r="H63" i="1"/>
  <c r="J38" i="1"/>
  <c r="I38" i="1"/>
  <c r="K38" i="1" s="1"/>
  <c r="H38" i="1"/>
  <c r="J37" i="1"/>
  <c r="I37" i="1"/>
  <c r="K37" i="1" s="1"/>
  <c r="H37" i="1"/>
  <c r="J92" i="1"/>
  <c r="I92" i="1"/>
  <c r="K92" i="1" s="1"/>
  <c r="H92" i="1"/>
  <c r="J97" i="1"/>
  <c r="I97" i="1"/>
  <c r="K97" i="1" s="1"/>
  <c r="H97" i="1"/>
  <c r="J69" i="1"/>
  <c r="I69" i="1"/>
  <c r="K69" i="1" s="1"/>
  <c r="H69" i="1"/>
  <c r="J19" i="1"/>
  <c r="I19" i="1"/>
  <c r="K19" i="1" s="1"/>
  <c r="H19" i="1"/>
  <c r="J147" i="1"/>
  <c r="I147" i="1"/>
  <c r="K147" i="1" s="1"/>
  <c r="H147" i="1"/>
  <c r="J95" i="1"/>
  <c r="I95" i="1"/>
  <c r="K95" i="1" s="1"/>
  <c r="H95" i="1"/>
  <c r="J56" i="1"/>
  <c r="I56" i="1"/>
  <c r="K56" i="1" s="1"/>
  <c r="H56" i="1"/>
  <c r="J146" i="1"/>
  <c r="I146" i="1"/>
  <c r="K146" i="1" s="1"/>
  <c r="H146" i="1"/>
  <c r="J76" i="1"/>
  <c r="I76" i="1"/>
  <c r="K76" i="1" s="1"/>
  <c r="H76" i="1"/>
  <c r="J91" i="1"/>
  <c r="I91" i="1"/>
  <c r="K91" i="1" s="1"/>
  <c r="H91" i="1"/>
  <c r="J90" i="1"/>
  <c r="I90" i="1"/>
  <c r="K90" i="1" s="1"/>
  <c r="H90" i="1"/>
  <c r="J75" i="1"/>
  <c r="I75" i="1"/>
  <c r="K75" i="1" s="1"/>
  <c r="H75" i="1"/>
  <c r="J151" i="1"/>
  <c r="I151" i="1"/>
  <c r="K151" i="1" s="1"/>
  <c r="H151" i="1"/>
  <c r="J89" i="1"/>
  <c r="I89" i="1"/>
  <c r="K89" i="1" s="1"/>
  <c r="H89" i="1"/>
  <c r="J77" i="1"/>
  <c r="I77" i="1"/>
  <c r="K77" i="1" s="1"/>
  <c r="H77" i="1"/>
  <c r="J93" i="1"/>
  <c r="I93" i="1"/>
  <c r="K93" i="1" s="1"/>
  <c r="H93" i="1"/>
  <c r="J86" i="1"/>
  <c r="I86" i="1"/>
  <c r="K86" i="1" s="1"/>
  <c r="H86" i="1"/>
  <c r="J94" i="1"/>
  <c r="I94" i="1"/>
  <c r="K94" i="1" s="1"/>
  <c r="H94" i="1"/>
  <c r="J55" i="1"/>
  <c r="I55" i="1"/>
  <c r="K55" i="1" s="1"/>
  <c r="H55" i="1"/>
  <c r="J54" i="1"/>
  <c r="I54" i="1"/>
  <c r="K54" i="1" s="1"/>
  <c r="H54" i="1"/>
  <c r="J50" i="1"/>
  <c r="I50" i="1"/>
  <c r="K50" i="1" s="1"/>
  <c r="H50" i="1"/>
  <c r="J85" i="1"/>
  <c r="I85" i="1"/>
  <c r="K85" i="1" s="1"/>
  <c r="H85" i="1"/>
  <c r="J51" i="1"/>
  <c r="I51" i="1"/>
  <c r="K51" i="1" s="1"/>
  <c r="H51" i="1"/>
  <c r="J59" i="1"/>
  <c r="I59" i="1"/>
  <c r="K59" i="1" s="1"/>
  <c r="H59" i="1"/>
  <c r="J48" i="1"/>
  <c r="I48" i="1"/>
  <c r="K48" i="1" s="1"/>
  <c r="H48" i="1"/>
  <c r="J150" i="1"/>
  <c r="I150" i="1"/>
  <c r="K150" i="1" s="1"/>
  <c r="H150" i="1"/>
  <c r="J132" i="1"/>
  <c r="I132" i="1"/>
  <c r="K132" i="1" s="1"/>
  <c r="H132" i="1"/>
  <c r="J58" i="1"/>
  <c r="I58" i="1"/>
  <c r="K58" i="1" s="1"/>
  <c r="H58" i="1"/>
  <c r="J71" i="1"/>
  <c r="I71" i="1"/>
  <c r="K71" i="1" s="1"/>
  <c r="H71" i="1"/>
  <c r="J137" i="1"/>
  <c r="I137" i="1"/>
  <c r="K137" i="1" s="1"/>
  <c r="H137" i="1"/>
  <c r="J104" i="1"/>
  <c r="I104" i="1"/>
  <c r="K104" i="1" s="1"/>
  <c r="H104" i="1"/>
  <c r="J111" i="1"/>
  <c r="I111" i="1"/>
  <c r="K111" i="1" s="1"/>
  <c r="H111" i="1"/>
  <c r="J109" i="1"/>
  <c r="I109" i="1"/>
  <c r="K109" i="1" s="1"/>
  <c r="H109" i="1"/>
  <c r="J153" i="1"/>
  <c r="I153" i="1"/>
  <c r="K153" i="1" s="1"/>
  <c r="H153" i="1"/>
  <c r="J13" i="1"/>
  <c r="I13" i="1"/>
  <c r="K13" i="1" s="1"/>
  <c r="H13" i="1"/>
  <c r="J45" i="1"/>
  <c r="I45" i="1"/>
  <c r="K45" i="1" s="1"/>
  <c r="H45" i="1"/>
  <c r="J73" i="1"/>
  <c r="I73" i="1"/>
  <c r="K73" i="1" s="1"/>
  <c r="H73" i="1"/>
  <c r="J116" i="1"/>
  <c r="I116" i="1"/>
  <c r="K116" i="1" s="1"/>
  <c r="H116" i="1"/>
  <c r="J115" i="1"/>
  <c r="I115" i="1"/>
  <c r="K115" i="1" s="1"/>
  <c r="H115" i="1"/>
  <c r="J113" i="1"/>
  <c r="I113" i="1"/>
  <c r="K113" i="1" s="1"/>
  <c r="H113" i="1"/>
  <c r="J112" i="1"/>
  <c r="I112" i="1"/>
  <c r="K112" i="1" s="1"/>
  <c r="H112" i="1"/>
  <c r="J110" i="1"/>
  <c r="I110" i="1"/>
  <c r="K110" i="1" s="1"/>
  <c r="H110" i="1"/>
  <c r="J125" i="1"/>
  <c r="I125" i="1"/>
  <c r="K125" i="1" s="1"/>
  <c r="H125" i="1"/>
  <c r="J124" i="1"/>
  <c r="I124" i="1"/>
  <c r="K124" i="1" s="1"/>
  <c r="H124" i="1"/>
  <c r="J108" i="1"/>
  <c r="I108" i="1"/>
  <c r="K108" i="1" s="1"/>
  <c r="H108" i="1"/>
  <c r="J78" i="1"/>
  <c r="I78" i="1"/>
  <c r="K78" i="1" s="1"/>
  <c r="H78" i="1"/>
  <c r="J87" i="1"/>
  <c r="I87" i="1"/>
  <c r="K87" i="1" s="1"/>
  <c r="H87" i="1"/>
  <c r="J8" i="1"/>
  <c r="I8" i="1"/>
  <c r="K8" i="1" s="1"/>
  <c r="H8" i="1"/>
  <c r="J107" i="1"/>
  <c r="I107" i="1"/>
  <c r="K107" i="1" s="1"/>
  <c r="H107" i="1"/>
  <c r="J106" i="1"/>
  <c r="I106" i="1"/>
  <c r="K106" i="1" s="1"/>
  <c r="H106" i="1"/>
  <c r="J136" i="1"/>
  <c r="I136" i="1"/>
  <c r="K136" i="1" s="1"/>
  <c r="H136" i="1"/>
  <c r="J135" i="1"/>
  <c r="I135" i="1"/>
  <c r="K135" i="1" s="1"/>
  <c r="H135" i="1"/>
  <c r="J122" i="1"/>
  <c r="I122" i="1"/>
  <c r="K122" i="1" s="1"/>
  <c r="H122" i="1"/>
  <c r="J121" i="1"/>
  <c r="I121" i="1"/>
  <c r="K121" i="1" s="1"/>
  <c r="H121" i="1"/>
  <c r="J134" i="1"/>
  <c r="I134" i="1"/>
  <c r="K134" i="1" s="1"/>
  <c r="H134" i="1"/>
  <c r="J120" i="1"/>
  <c r="I120" i="1"/>
  <c r="K120" i="1" s="1"/>
  <c r="H120" i="1"/>
  <c r="J119" i="1"/>
  <c r="I119" i="1"/>
  <c r="K119" i="1" s="1"/>
  <c r="H119" i="1"/>
  <c r="J118" i="1"/>
  <c r="I118" i="1"/>
  <c r="K118" i="1" s="1"/>
  <c r="H118" i="1"/>
  <c r="J117" i="1"/>
  <c r="I117" i="1"/>
  <c r="K117" i="1" s="1"/>
  <c r="H117" i="1"/>
  <c r="J114" i="1"/>
  <c r="I114" i="1"/>
  <c r="K114" i="1" s="1"/>
  <c r="H114" i="1"/>
  <c r="J47" i="1"/>
  <c r="I47" i="1"/>
  <c r="K47" i="1" s="1"/>
  <c r="H47" i="1"/>
  <c r="J52" i="1"/>
  <c r="I52" i="1"/>
  <c r="K52" i="1" s="1"/>
  <c r="H52" i="1"/>
  <c r="J105" i="1"/>
  <c r="I105" i="1"/>
  <c r="K105" i="1" s="1"/>
  <c r="H105" i="1"/>
  <c r="J103" i="1"/>
  <c r="I103" i="1"/>
  <c r="K103" i="1" s="1"/>
  <c r="H103" i="1"/>
  <c r="J49" i="1"/>
  <c r="I49" i="1"/>
  <c r="K49" i="1" s="1"/>
  <c r="H49" i="1"/>
  <c r="J149" i="1"/>
  <c r="I149" i="1"/>
  <c r="K149" i="1" s="1"/>
  <c r="H149" i="1"/>
  <c r="J14" i="1"/>
  <c r="I14" i="1"/>
  <c r="K14" i="1" s="1"/>
  <c r="H14" i="1"/>
  <c r="J141" i="1"/>
  <c r="I141" i="1"/>
  <c r="K141" i="1" s="1"/>
  <c r="H141" i="1"/>
  <c r="J148" i="1"/>
  <c r="I148" i="1"/>
  <c r="K148" i="1" s="1"/>
  <c r="H148" i="1"/>
  <c r="J133" i="1"/>
  <c r="I133" i="1"/>
  <c r="K133" i="1" s="1"/>
  <c r="H133" i="1"/>
  <c r="J145" i="1"/>
  <c r="I145" i="1"/>
  <c r="K145" i="1" s="1"/>
  <c r="H145" i="1"/>
  <c r="J144" i="1"/>
  <c r="I144" i="1"/>
  <c r="K144" i="1" s="1"/>
  <c r="H144" i="1"/>
  <c r="J143" i="1"/>
  <c r="I143" i="1"/>
  <c r="K143" i="1" s="1"/>
  <c r="H143" i="1"/>
  <c r="J142" i="1"/>
  <c r="I142" i="1"/>
  <c r="K142" i="1" s="1"/>
  <c r="H142" i="1"/>
  <c r="J140" i="1"/>
  <c r="I140" i="1"/>
  <c r="K140" i="1" s="1"/>
  <c r="H140" i="1"/>
  <c r="F138" i="1" l="1"/>
  <c r="F4" i="1"/>
  <c r="F119" i="1"/>
  <c r="F115" i="1"/>
  <c r="F110" i="1"/>
  <c r="F105" i="1"/>
  <c r="F12" i="1"/>
  <c r="F122" i="1"/>
  <c r="F118" i="1"/>
  <c r="F114" i="1"/>
  <c r="F108" i="1"/>
  <c r="F121" i="1"/>
  <c r="F117" i="1"/>
  <c r="F113" i="1"/>
  <c r="F107" i="1"/>
  <c r="F52" i="1"/>
  <c r="F5" i="1"/>
  <c r="F120" i="1"/>
  <c r="F116" i="1"/>
  <c r="F112" i="1"/>
  <c r="F106" i="1"/>
  <c r="F47" i="1"/>
  <c r="F2" i="1"/>
  <c r="F141" i="1"/>
  <c r="F15" i="1"/>
  <c r="F65" i="1"/>
  <c r="F33" i="1"/>
  <c r="F64" i="1"/>
  <c r="F26" i="1"/>
  <c r="F127" i="1"/>
  <c r="F25" i="1"/>
  <c r="F3" i="1"/>
  <c r="F146" i="1"/>
  <c r="F153" i="1"/>
  <c r="F145" i="1"/>
  <c r="F150" i="1"/>
  <c r="F142" i="1"/>
  <c r="F149" i="1"/>
  <c r="F134" i="1"/>
  <c r="F130" i="1"/>
  <c r="F126" i="1"/>
  <c r="F102" i="1"/>
  <c r="F98" i="1"/>
  <c r="F90" i="1"/>
  <c r="F86" i="1"/>
  <c r="F82" i="1"/>
  <c r="F78" i="1"/>
  <c r="F74" i="1"/>
  <c r="F70" i="1"/>
  <c r="F66" i="1"/>
  <c r="F62" i="1"/>
  <c r="F58" i="1"/>
  <c r="F54" i="1"/>
  <c r="F50" i="1"/>
  <c r="F46" i="1"/>
  <c r="F42" i="1"/>
  <c r="F38" i="1"/>
  <c r="F34" i="1"/>
  <c r="F30" i="1"/>
  <c r="F22" i="1"/>
  <c r="F18" i="1"/>
  <c r="F14" i="1"/>
  <c r="F10" i="1"/>
  <c r="F6" i="1"/>
  <c r="F137" i="1"/>
  <c r="F129" i="1"/>
  <c r="F125" i="1"/>
  <c r="F109" i="1"/>
  <c r="F101" i="1"/>
  <c r="F97" i="1"/>
  <c r="F89" i="1"/>
  <c r="F85" i="1"/>
  <c r="F81" i="1"/>
  <c r="F73" i="1"/>
  <c r="F69" i="1"/>
  <c r="F61" i="1"/>
  <c r="F57" i="1"/>
  <c r="F53" i="1"/>
  <c r="F49" i="1"/>
  <c r="F45" i="1"/>
  <c r="F41" i="1"/>
  <c r="F37" i="1"/>
  <c r="F29" i="1"/>
  <c r="F21" i="1"/>
  <c r="F17" i="1"/>
  <c r="F13" i="1"/>
  <c r="F9" i="1"/>
  <c r="F152" i="1"/>
  <c r="F144" i="1"/>
  <c r="F140" i="1"/>
  <c r="F136" i="1"/>
  <c r="F132" i="1"/>
  <c r="F128" i="1"/>
  <c r="F124" i="1"/>
  <c r="F104" i="1"/>
  <c r="F100" i="1"/>
  <c r="F96" i="1"/>
  <c r="F92" i="1"/>
  <c r="F84" i="1"/>
  <c r="F80" i="1"/>
  <c r="F76" i="1"/>
  <c r="F72" i="1"/>
  <c r="F68" i="1"/>
  <c r="F60" i="1"/>
  <c r="F56" i="1"/>
  <c r="F48" i="1"/>
  <c r="F44" i="1"/>
  <c r="F40" i="1"/>
  <c r="F36" i="1"/>
  <c r="F32" i="1"/>
  <c r="F28" i="1"/>
  <c r="F24" i="1"/>
  <c r="F20" i="1"/>
  <c r="F16" i="1"/>
  <c r="F148" i="1"/>
  <c r="F151" i="1"/>
  <c r="F147" i="1"/>
  <c r="F143" i="1"/>
  <c r="F139" i="1"/>
  <c r="F135" i="1"/>
  <c r="F131" i="1"/>
  <c r="F123" i="1"/>
  <c r="F111" i="1"/>
  <c r="F103" i="1"/>
  <c r="F99" i="1"/>
  <c r="F95" i="1"/>
  <c r="F91" i="1"/>
  <c r="F87" i="1"/>
  <c r="F83" i="1"/>
  <c r="F75" i="1"/>
  <c r="F71" i="1"/>
  <c r="F67" i="1"/>
  <c r="F63" i="1"/>
  <c r="F59" i="1"/>
  <c r="F55" i="1"/>
  <c r="F51" i="1"/>
  <c r="F43" i="1"/>
  <c r="F39" i="1"/>
  <c r="F35" i="1"/>
  <c r="F31" i="1"/>
  <c r="F27" i="1"/>
  <c r="F23" i="1"/>
  <c r="F19" i="1"/>
  <c r="F11" i="1"/>
  <c r="F7" i="1"/>
</calcChain>
</file>

<file path=xl/sharedStrings.xml><?xml version="1.0" encoding="utf-8"?>
<sst xmlns="http://schemas.openxmlformats.org/spreadsheetml/2006/main" count="818" uniqueCount="812">
  <si>
    <t>STT</t>
  </si>
  <si>
    <t>Ghi chú</t>
  </si>
  <si>
    <t>channel_id</t>
  </si>
  <si>
    <t>name</t>
  </si>
  <si>
    <t>display-number</t>
  </si>
  <si>
    <t>channel</t>
  </si>
  <si>
    <t>display-name</t>
  </si>
  <si>
    <t>icon</t>
  </si>
  <si>
    <t>get_name</t>
  </si>
  <si>
    <t>get_rtp</t>
  </si>
  <si>
    <t>check_name</t>
  </si>
  <si>
    <t>Đang lấy lịch phát sóng cho kênh: 801 (ID: 267)</t>
  </si>
  <si>
    <t>Đang lấy lịch phát sóng cho kênh: 802 (ID: 349)</t>
  </si>
  <si>
    <t>Đang lấy lịch phát sóng cho kênh: 803 (ID: 447)</t>
  </si>
  <si>
    <t>Đang lấy lịch phát sóng cho kênh: 804 (ID: 449)</t>
  </si>
  <si>
    <t>Đang lấy lịch phát sóng cho kênh: 806 (ID: 670)</t>
  </si>
  <si>
    <t>Đang lấy lịch phát sóng cho kênh: 807 (ID: 736)</t>
  </si>
  <si>
    <t>Đang lấy lịch phát sóng cho kênh: 903 (ID: 754)</t>
  </si>
  <si>
    <t>Đang lấy lịch phát sóng cho kênh: 904 (ID: 757)</t>
  </si>
  <si>
    <t>Đang lấy lịch phát sóng cho kênh: 905 (ID: 760)</t>
  </si>
  <si>
    <t>Đang lấy lịch phát sóng cho kênh: 906 (ID: 763)</t>
  </si>
  <si>
    <t>Đang lấy lịch phát sóng cho kênh: ABC Australia (ID: 598)</t>
  </si>
  <si>
    <t>ABC Australia</t>
  </si>
  <si>
    <t>Đang lấy lịch phát sóng cho kênh: An Giang (ID: 34)</t>
  </si>
  <si>
    <t>An Giang 2</t>
  </si>
  <si>
    <t>Đang lấy lịch phát sóng cho kênh: Animal Plannet HD (ID: 589)</t>
  </si>
  <si>
    <t>Đang lấy lịch phát sóng cho kênh: ANTV (ID: 35)</t>
  </si>
  <si>
    <t>ANTV</t>
  </si>
  <si>
    <t>Đang lấy lịch phát sóng cho kênh: Arirang (ID: 63)</t>
  </si>
  <si>
    <t>Arirang</t>
  </si>
  <si>
    <t>Đang lấy lịch phát sóng cho kênh: Asian Food Network (HD) (ID: 298)</t>
  </si>
  <si>
    <t>Đang lấy lịch phát sóng cho kênh: AXN HD (ID: 590)</t>
  </si>
  <si>
    <t>AXN HD</t>
  </si>
  <si>
    <t>Đang lấy lịch phát sóng cho kênh: Bắc Giang TV (ID: 183)</t>
  </si>
  <si>
    <t>Bắc Ninh</t>
  </si>
  <si>
    <t>Đang lấy lịch phát sóng cho kênh: Bắc Kạn TV (ID: 182)</t>
  </si>
  <si>
    <t>Đang lấy lịch phát sóng cho kênh: Bạc Liêu TV (ID: 180)</t>
  </si>
  <si>
    <t>Đang lấy lịch phát sóng cho kênh: Bắc Ninh HD (ID: 360)</t>
  </si>
  <si>
    <t>Đang lấy lịch phát sóng cho kênh: Bến Tre TV (ID: 167)</t>
  </si>
  <si>
    <t>Đang lấy lịch phát sóng cho kênh: Bình Định TV (ID: 170)</t>
  </si>
  <si>
    <t>Đang lấy lịch phát sóng cho kênh: Bình Dương 1 HD (ID: 402)</t>
  </si>
  <si>
    <t>Đang lấy lịch phát sóng cho kênh: Bình Dương 2 (ID: 38)</t>
  </si>
  <si>
    <t>Đang lấy lịch phát sóng cho kênh: Bình Phước (ID: 119)</t>
  </si>
  <si>
    <t>Đang lấy lịch phát sóng cho kênh: Bình Thuận (ID: 125)</t>
  </si>
  <si>
    <t>Đang lấy lịch phát sóng cho kênh: Box Hits (HD) (ID: 105)</t>
  </si>
  <si>
    <t>Đang lấy lịch phát sóng cho kênh: BTV6 - Shopping 24h (ID: 115)</t>
  </si>
  <si>
    <t>BTV6 - Shopping 24h</t>
  </si>
  <si>
    <t>Đang lấy lịch phát sóng cho kênh: BTV9 - An Viên TV (ID: 479)</t>
  </si>
  <si>
    <t>Đang lấy lịch phát sóng cho kênh: Cà Mau (ID: 123)</t>
  </si>
  <si>
    <t>Cà Mau</t>
  </si>
  <si>
    <t>Đang lấy lịch phát sóng cho kênh: Cần Thơ TV (ID: 39)</t>
  </si>
  <si>
    <t>Cần Thơ TV1</t>
  </si>
  <si>
    <t>Đang lấy lịch phát sóng cho kênh: Cao Bằng TV (ID: 141)</t>
  </si>
  <si>
    <t>Cao Bằng TV</t>
  </si>
  <si>
    <t>Đang lấy lịch phát sóng cho kênh: CartoonNetwork HD (ID: 592)</t>
  </si>
  <si>
    <t>Đang lấy lịch phát sóng cho kênh: Channel News Asia HD (ID: 366)</t>
  </si>
  <si>
    <t>Đang lấy lịch phát sóng cho kênh: CINEMAWORLD HD (ID: 523)</t>
  </si>
  <si>
    <t>Đang lấy lịch phát sóng cho kênh: CNBC (ID: 358)</t>
  </si>
  <si>
    <t>CNBC</t>
  </si>
  <si>
    <t>Đang lấy lịch phát sóng cho kênh: CNN HD (ID: 593)</t>
  </si>
  <si>
    <t>CNN</t>
  </si>
  <si>
    <t>Đang lấy lịch phát sóng cho kênh: Đà Nẵng 1 (ID: 90)</t>
  </si>
  <si>
    <t>Đà Nẵng 1</t>
  </si>
  <si>
    <t>Đang lấy lịch phát sóng cho kênh: Đà Nẵng 2 (ID: 60)</t>
  </si>
  <si>
    <t>Đà Nẵng 2</t>
  </si>
  <si>
    <t>Đang lấy lịch phát sóng cho kênh: DakLak TV (ID: 162)</t>
  </si>
  <si>
    <t>Đắk Lắk</t>
  </si>
  <si>
    <t>Đang lấy lịch phát sóng cho kênh: DakNong TV (ID: 163)</t>
  </si>
  <si>
    <t>Đang lấy lịch phát sóng cho kênh: DaVinci HD (ID: 294)</t>
  </si>
  <si>
    <t>Đang lấy lịch phát sóng cho kênh: Điện Biên TV (ID: 158)</t>
  </si>
  <si>
    <t>Điện Biên</t>
  </si>
  <si>
    <t>Đang lấy lịch phát sóng cho kênh: Discovery(HD) (ID: 594)</t>
  </si>
  <si>
    <t>Đang lấy lịch phát sóng cho kênh: DMAX (HD) (ID: 739)</t>
  </si>
  <si>
    <t>Đang lấy lịch phát sóng cho kênh: Đồng Nai 1 HD (ID: 404)</t>
  </si>
  <si>
    <t>Đồng Nai 1</t>
  </si>
  <si>
    <t>Đang lấy lịch phát sóng cho kênh: Đồng Nai 2 (ID: 95)</t>
  </si>
  <si>
    <t>Đồng Nai 2</t>
  </si>
  <si>
    <t>Đang lấy lịch phát sóng cho kênh: Đồng Tháp (ID: 96)</t>
  </si>
  <si>
    <t>Đang lấy lịch phát sóng cho kênh: DreamWorks (HD) (ID: 553)</t>
  </si>
  <si>
    <t>Đang lấy lịch phát sóng cho kênh: DW-HD (ID: 313)</t>
  </si>
  <si>
    <t>Đang lấy lịch phát sóng cho kênh: France24 (ID: 308)</t>
  </si>
  <si>
    <t>Đang lấy lịch phát sóng cho kênh: FTV(HD) (ID: 595)</t>
  </si>
  <si>
    <t>Đang lấy lịch phát sóng cho kênh: Gia Lai TV (ID: 172)</t>
  </si>
  <si>
    <t>Gia Lai</t>
  </si>
  <si>
    <t>Đang lấy lịch phát sóng cho kênh: Hà Giang TV (ID: 155)</t>
  </si>
  <si>
    <t>Đang lấy lịch phát sóng cho kênh: Hà Nam (ID: 40)</t>
  </si>
  <si>
    <t>Đang lấy lịch phát sóng cho kênh: Hà Nội 1  HD (ID: 400)</t>
  </si>
  <si>
    <t>Hà Nội 1</t>
  </si>
  <si>
    <t>Đang lấy lịch phát sóng cho kênh: Hà Nội 2 HD (ID: 401)</t>
  </si>
  <si>
    <t>Hà Nội 2</t>
  </si>
  <si>
    <t>Đang lấy lịch phát sóng cho kênh: Hà Tĩnh TV HD (ID: 405)</t>
  </si>
  <si>
    <t>Hà Tĩnh</t>
  </si>
  <si>
    <t>Đang lấy lịch phát sóng cho kênh: Hải Dương TV (ID: 93)</t>
  </si>
  <si>
    <t>Hải Phòng 3</t>
  </si>
  <si>
    <t>Đang lấy lịch phát sóng cho kênh: Hải Phòng TV HD (ID: 407)</t>
  </si>
  <si>
    <t>Hải Phòng</t>
  </si>
  <si>
    <t>Đang lấy lịch phát sóng cho kênh: Hậu Giang TV (ID: 181)</t>
  </si>
  <si>
    <t>Cần Thơ TV2</t>
  </si>
  <si>
    <t>Đang lấy lịch phát sóng cho kênh: Hòa Bình TV (ID: 159)</t>
  </si>
  <si>
    <t>Đang lấy lịch phát sóng cho kênh: HTV Key (HD) (ID: 9)</t>
  </si>
  <si>
    <t>Đang lấy lịch phát sóng cho kênh: HTV Phụ Nữ (HD) (ID: 16)</t>
  </si>
  <si>
    <t>Đang lấy lịch phát sóng cho kênh: HTV Thể thao (ID: 18)</t>
  </si>
  <si>
    <t>HTV Thể thao</t>
  </si>
  <si>
    <t>Đang lấy lịch phát sóng cho kênh: HTV Thuần Việt HD (ID: 300)</t>
  </si>
  <si>
    <t>Đang lấy lịch phát sóng cho kênh: HTV1 HD (ID: 7)</t>
  </si>
  <si>
    <t>HTV1</t>
  </si>
  <si>
    <t>Đang lấy lịch phát sóng cho kênh: HTV2 HD (ID: 127)</t>
  </si>
  <si>
    <t>Đang lấy lịch phát sóng cho kênh: HTV3 HD (ID: 110)</t>
  </si>
  <si>
    <t>HTV3</t>
  </si>
  <si>
    <t>Đang lấy lịch phát sóng cho kênh: HTV7 HD (ID: 128)</t>
  </si>
  <si>
    <t>Đang lấy lịch phát sóng cho kênh: HTV9 HD (ID: 190)</t>
  </si>
  <si>
    <t>Đang lấy lịch phát sóng cho kênh: HTVC Ca Nhạc (HD) (ID: 12)</t>
  </si>
  <si>
    <t>Đang lấy lịch phát sóng cho kênh: HTVC Du Lịch Cuộc Sống (HD) (ID: 13)</t>
  </si>
  <si>
    <t>Đang lấy lịch phát sóng cho kênh: HTVC Gia Đình (HD) (ID: 14)</t>
  </si>
  <si>
    <t>Đang lấy lịch phát sóng cho kênh: HTVC Phim HD (ID: 302)</t>
  </si>
  <si>
    <t>Đang lấy lịch phát sóng cho kênh: HTVC Plus HD (ID: 384)</t>
  </si>
  <si>
    <t>Đang lấy lịch phát sóng cho kênh: Huế TV1 (ID: 168)</t>
  </si>
  <si>
    <t>Đang lấy lịch phát sóng cho kênh: Hưng Yên TV HD (ID: 408)</t>
  </si>
  <si>
    <t>Hưng Yên</t>
  </si>
  <si>
    <t>Đang lấy lịch phát sóng cho kênh: K+ ACTION (ID: 195)</t>
  </si>
  <si>
    <t>Đang lấy lịch phát sóng cho kênh: K+ ACTION (HD) (ID: 230)</t>
  </si>
  <si>
    <t>Đang lấy lịch phát sóng cho kênh: K+ CINE (ID: 194)</t>
  </si>
  <si>
    <t>Đang lấy lịch phát sóng cho kênh: K+ CINE (HD) (ID: 228)</t>
  </si>
  <si>
    <t>Đang lấy lịch phát sóng cho kênh: K+ Kids (ID: 751)</t>
  </si>
  <si>
    <t>Đang lấy lịch phát sóng cho kênh: K+ Kids (HD) (ID: 748)</t>
  </si>
  <si>
    <t>Đang lấy lịch phát sóng cho kênh: K+ SPORT1 (ID: 196)</t>
  </si>
  <si>
    <t>Đang lấy lịch phát sóng cho kênh: K+ SPORT1 (HD) (ID: 229)</t>
  </si>
  <si>
    <t>Đang lấy lịch phát sóng cho kênh: K+ SPORT2 (ID: 249)</t>
  </si>
  <si>
    <t>Đang lấy lịch phát sóng cho kênh: K+ SPORT2 (HD) (ID: 247)</t>
  </si>
  <si>
    <t>Đang lấy lịch phát sóng cho kênh: KBS World (ID: 306)</t>
  </si>
  <si>
    <t>KBS World</t>
  </si>
  <si>
    <t>Đang lấy lịch phát sóng cho kênh: Khánh Hòa (ID: 114)</t>
  </si>
  <si>
    <t>Khánh Hòa</t>
  </si>
  <si>
    <t>Đang lấy lịch phát sóng cho kênh: Kiên Giang (HD) (ID: 433)</t>
  </si>
  <si>
    <t>An Giang 1</t>
  </si>
  <si>
    <t>Đang lấy lịch phát sóng cho kênh: KonTum TV (ID: 173)</t>
  </si>
  <si>
    <t>Đang lấy lịch phát sóng cho kênh: Lai Châu TV (ID: 156)</t>
  </si>
  <si>
    <t>Lai Châu</t>
  </si>
  <si>
    <t>Đang lấy lịch phát sóng cho kênh: Lâm Đồng TV (ID: 164)</t>
  </si>
  <si>
    <t>Đang lấy lịch phát sóng cho kênh: Lạng Sơn TV HD (ID: 193)</t>
  </si>
  <si>
    <t>Lạng Sơn</t>
  </si>
  <si>
    <t>Đang lấy lịch phát sóng cho kênh: Lào Cai TV (ID: 116)</t>
  </si>
  <si>
    <t>Lào Cai</t>
  </si>
  <si>
    <t>Đang lấy lịch phát sóng cho kênh: Long An (ID: 47)</t>
  </si>
  <si>
    <t>Đang lấy lịch phát sóng cho kênh: Music Box (HD) (ID: 69)</t>
  </si>
  <si>
    <t>Đang lấy lịch phát sóng cho kênh: Nam Định TV (ID: 149)</t>
  </si>
  <si>
    <t>Đang lấy lịch phát sóng cho kênh: Nghệ An (HD) (ID: 453)</t>
  </si>
  <si>
    <t>Nghệ An</t>
  </si>
  <si>
    <t>Đang lấy lịch phát sóng cho kênh: NHK World Japan HD (ID: 185)</t>
  </si>
  <si>
    <t>NHK World</t>
  </si>
  <si>
    <t>Đang lấy lịch phát sóng cho kênh: Ninh Bình TV (ID: 160)</t>
  </si>
  <si>
    <t>Ninh Bình</t>
  </si>
  <si>
    <t>Đang lấy lịch phát sóng cho kênh: Ninh Thuận TV (ID: 176)</t>
  </si>
  <si>
    <t>Khánh Hòa 1</t>
  </si>
  <si>
    <t>Đang lấy lịch phát sóng cho kênh: ON Bibi HD (ID: 205)</t>
  </si>
  <si>
    <t>Đang lấy lịch phát sóng cho kênh: ON Cine HD (ID: 204)</t>
  </si>
  <si>
    <t>ON Cine</t>
  </si>
  <si>
    <t>Đang lấy lịch phát sóng cho kênh: ON E Channel (ID: 202)</t>
  </si>
  <si>
    <t>ON E Channel</t>
  </si>
  <si>
    <t>Đang lấy lịch phát sóng cho kênh: ON Football (HD) (ID: 208)</t>
  </si>
  <si>
    <t>Đang lấy lịch phát sóng cho kênh: ON Golf (ID: 415)</t>
  </si>
  <si>
    <t>ON Golf</t>
  </si>
  <si>
    <t>Đang lấy lịch phát sóng cho kênh: ON InfoTV HD (ID: 437)</t>
  </si>
  <si>
    <t>ON Info TV</t>
  </si>
  <si>
    <t>Đang lấy lịch phát sóng cho kênh: ON Kids (HD) (ID: 742)</t>
  </si>
  <si>
    <t>ON Kids</t>
  </si>
  <si>
    <t>Đang lấy lịch phát sóng cho kênh: ON Life (HD) (ID: 745)</t>
  </si>
  <si>
    <t>ON Life</t>
  </si>
  <si>
    <t>Đang lấy lịch phát sóng cho kênh: ON MOVIES (HD) (ID: 435)</t>
  </si>
  <si>
    <t>Đang lấy lịch phát sóng cho kênh: ON MUSIC HD (ID: 439)</t>
  </si>
  <si>
    <t>Đang lấy lịch phát sóng cho kênh: ON O2TV HD (ID: 27)</t>
  </si>
  <si>
    <t>ON O2TV</t>
  </si>
  <si>
    <t>Đang lấy lịch phát sóng cho kênh: ON Phim Việt HD (ID: 198)</t>
  </si>
  <si>
    <t>ON Phim Việt</t>
  </si>
  <si>
    <t>Đang lấy lịch phát sóng cho kênh: ON Sports (HD) (ID: 200)</t>
  </si>
  <si>
    <t>Đang lấy lịch phát sóng cho kênh: ON Sports News (ID: 441)</t>
  </si>
  <si>
    <t>ON Sports News</t>
  </si>
  <si>
    <t>Đang lấy lịch phát sóng cho kênh: On Sports+ HD (ID: 203)</t>
  </si>
  <si>
    <t>Đang lấy lịch phát sóng cho kênh: ON Style TV HD (ID: 206)</t>
  </si>
  <si>
    <t>Đang lấy lịch phát sóng cho kênh: ON Trending HD (ID: 209)</t>
  </si>
  <si>
    <t>ON Trending</t>
  </si>
  <si>
    <t>Đang lấy lịch phát sóng cho kênh: ON Vfamily HD (ID: 241)</t>
  </si>
  <si>
    <t>Đang lấy lịch phát sóng cho kênh: ON Vie Dramas (ID: 201)</t>
  </si>
  <si>
    <t>ON Vie Dramas</t>
  </si>
  <si>
    <t>Đang lấy lịch phát sóng cho kênh: ON Vie Giải trí (ID: 197)</t>
  </si>
  <si>
    <t>ON Vie Giải trí</t>
  </si>
  <si>
    <t>Đang lấy lịch phát sóng cho kênh: Outdoor HD (ID: 191)</t>
  </si>
  <si>
    <t>Đang lấy lịch phát sóng cho kênh: Phú Thọ TV (HD) (ID: 410)</t>
  </si>
  <si>
    <t>Phú Thọ</t>
  </si>
  <si>
    <t>Đang lấy lịch phát sóng cho kênh: PhuYenTV (ID: 245)</t>
  </si>
  <si>
    <t>Đang lấy lịch phát sóng cho kênh: QPVN (HD) (ID: 227)</t>
  </si>
  <si>
    <t>Đang lấy lịch phát sóng cho kênh: Quảng Bình (ID: 120)</t>
  </si>
  <si>
    <t>Đang lấy lịch phát sóng cho kênh: Quảng Nam (ID: 179)</t>
  </si>
  <si>
    <t>Đang lấy lịch phát sóng cho kênh: Quảng Ngãi TV (HD) (ID: 409)</t>
  </si>
  <si>
    <t>Đang lấy lịch phát sóng cho kênh: Quảng Ninh1 (QTV1) HD (ID: 455)</t>
  </si>
  <si>
    <t>Quảng Ninh 1</t>
  </si>
  <si>
    <t>Đang lấy lịch phát sóng cho kênh: Quảng Ninh3 (QTV3) HD (ID: 457)</t>
  </si>
  <si>
    <t>Quảng Ninh 3</t>
  </si>
  <si>
    <t>Đang lấy lịch phát sóng cho kênh: Quảng Trị HD (ID: 121)</t>
  </si>
  <si>
    <t>Quảng Trị</t>
  </si>
  <si>
    <t>Đang lấy lịch phát sóng cho kênh: SCTV - Phim Tổng hợp (ID: 766)</t>
  </si>
  <si>
    <t>Đang lấy lịch phát sóng cho kênh: SCTV 22 - SSportT1 (ID: 829)</t>
  </si>
  <si>
    <t>Đang lấy lịch phát sóng cho kênh: SCTV1 (ID: 769)</t>
  </si>
  <si>
    <t>SCTV1</t>
  </si>
  <si>
    <t>Đang lấy lịch phát sóng cho kênh: SCTV11 (ID: 793)</t>
  </si>
  <si>
    <t>SCTV11</t>
  </si>
  <si>
    <t>Đang lấy lịch phát sóng cho kênh: SCTV12 (ID: 796)</t>
  </si>
  <si>
    <t>SCTV12</t>
  </si>
  <si>
    <t>Đang lấy lịch phát sóng cho kênh: SCTV13 (ID: 799)</t>
  </si>
  <si>
    <t>SCTV13</t>
  </si>
  <si>
    <t>Đang lấy lịch phát sóng cho kênh: SCTV14 (ID: 802)</t>
  </si>
  <si>
    <t>Đang lấy lịch phát sóng cho kênh: SCTV15 - SSportT2 (ID: 823)</t>
  </si>
  <si>
    <t>Đang lấy lịch phát sóng cho kênh: SCTV16 (ID: 805)</t>
  </si>
  <si>
    <t>SCTV16</t>
  </si>
  <si>
    <t>Đang lấy lịch phát sóng cho kênh: SCTV17 - Ssport (ID: 826)</t>
  </si>
  <si>
    <t>Đang lấy lịch phát sóng cho kênh: SCTV18 (ID: 808)</t>
  </si>
  <si>
    <t>SCTV18</t>
  </si>
  <si>
    <t>Đang lấy lịch phát sóng cho kênh: SCTV19 (ID: 811)</t>
  </si>
  <si>
    <t>SCTV19</t>
  </si>
  <si>
    <t>Đang lấy lịch phát sóng cho kênh: SCTV2 (ID: 772)</t>
  </si>
  <si>
    <t>SCTV2</t>
  </si>
  <si>
    <t>Đang lấy lịch phát sóng cho kênh: SCTV20 (ID: 814)</t>
  </si>
  <si>
    <t>SCTV20</t>
  </si>
  <si>
    <t>Đang lấy lịch phát sóng cho kênh: SCTV21 (ID: 817)</t>
  </si>
  <si>
    <t>SCTV21</t>
  </si>
  <si>
    <t>Đang lấy lịch phát sóng cho kênh: SCTV3 (ID: 775)</t>
  </si>
  <si>
    <t>SCTV3</t>
  </si>
  <si>
    <t>Đang lấy lịch phát sóng cho kênh: SCTV4 (ID: 778)</t>
  </si>
  <si>
    <t>SCTV4</t>
  </si>
  <si>
    <t>Đang lấy lịch phát sóng cho kênh: SCTV6 (ID: 781)</t>
  </si>
  <si>
    <t>SCTV6</t>
  </si>
  <si>
    <t>SCTV7</t>
  </si>
  <si>
    <t>SCTV8</t>
  </si>
  <si>
    <t>SCTV9</t>
  </si>
  <si>
    <t>Cần Thơ TV3</t>
  </si>
  <si>
    <t>Sơn La</t>
  </si>
  <si>
    <t>Thái Nguyên</t>
  </si>
  <si>
    <t>Thanh Hóa</t>
  </si>
  <si>
    <t>Vĩnh Long 5</t>
  </si>
  <si>
    <t>Tuyên Quang</t>
  </si>
  <si>
    <t>TV5 MONDE</t>
  </si>
  <si>
    <t>Vietnam Today</t>
  </si>
  <si>
    <t>HTV4</t>
  </si>
  <si>
    <t>Woman</t>
  </si>
  <si>
    <t>HTV5</t>
  </si>
  <si>
    <t>VNPT Promo</t>
  </si>
  <si>
    <t>channel id</t>
  </si>
  <si>
    <t>&lt;channel id="vtv1hd"&gt;</t>
  </si>
  <si>
    <t>&lt;display-name&gt;VTV1&lt;/display-name&gt;</t>
  </si>
  <si>
    <t>&lt;channel id="vtv2hd"&gt;</t>
  </si>
  <si>
    <t>&lt;display-name&gt;VTV2&lt;/display-name&gt;</t>
  </si>
  <si>
    <t>&lt;channel id="vtv3hd"&gt;</t>
  </si>
  <si>
    <t>&lt;display-name&gt;VTV3&lt;/display-name&gt;</t>
  </si>
  <si>
    <t>&lt;channel id="vtv4hd"&gt;</t>
  </si>
  <si>
    <t>&lt;display-name&gt;VTV4&lt;/display-name&gt;</t>
  </si>
  <si>
    <t>&lt;channel id="vietnamtoday"&gt;</t>
  </si>
  <si>
    <t>&lt;display-name&gt;Vietnam Today&lt;/display-name&gt;</t>
  </si>
  <si>
    <t>&lt;channel id="vtv5hd"&gt;</t>
  </si>
  <si>
    <t>&lt;display-name&gt;VTV5&lt;/display-name&gt;</t>
  </si>
  <si>
    <t>&lt;channel id="vtv6hd"&gt;</t>
  </si>
  <si>
    <t>&lt;display-name&gt;VTV6&lt;/display-name&gt;</t>
  </si>
  <si>
    <t>&lt;channel id="vtv5hdtnb"&gt;</t>
  </si>
  <si>
    <t>&lt;display-name&gt;VTV5 Tây Nam Bộ&lt;/display-name&gt;</t>
  </si>
  <si>
    <t>&lt;channel id="vtv5hdtn"&gt;</t>
  </si>
  <si>
    <t>&lt;display-name&gt;VTV5 Tây Nguyên&lt;/display-name&gt;</t>
  </si>
  <si>
    <t>&lt;channel id="vtv7hd"&gt;</t>
  </si>
  <si>
    <t>&lt;display-name&gt;VTV7&lt;/display-name&gt;</t>
  </si>
  <si>
    <t>&lt;channel id="vtv8hd"&gt;</t>
  </si>
  <si>
    <t>&lt;display-name&gt;VTV8&lt;/display-name&gt;</t>
  </si>
  <si>
    <t>&lt;channel id="vtv9hd"&gt;</t>
  </si>
  <si>
    <t>&lt;display-name&gt;VTV9&lt;/display-name&gt;</t>
  </si>
  <si>
    <t>&lt;channel id="vtv10hd"&gt;</t>
  </si>
  <si>
    <t>&lt;display-name&gt;VTV10&lt;/display-name&gt;</t>
  </si>
  <si>
    <t>&lt;channel id="antvhd"&gt;</t>
  </si>
  <si>
    <t>&lt;display-name&gt;ANTV&lt;/display-name&gt;</t>
  </si>
  <si>
    <t>&lt;channel id="qpvnhd"&gt;</t>
  </si>
  <si>
    <t>&lt;display-name&gt;QPVN&lt;/display-name&gt;</t>
  </si>
  <si>
    <t>&lt;channel id="onsports"&gt;</t>
  </si>
  <si>
    <t>&lt;display-name&gt;ON Sports&lt;/display-name&gt;</t>
  </si>
  <si>
    <t>&lt;channel id="onsportsplus"&gt;</t>
  </si>
  <si>
    <t>&lt;display-name&gt;ON Sports+&lt;/display-name&gt;</t>
  </si>
  <si>
    <t>&lt;channel id="onfootball"&gt;</t>
  </si>
  <si>
    <t>&lt;display-name&gt;ON Football&lt;/display-name&gt;</t>
  </si>
  <si>
    <t>&lt;channel id="onsportsnews"&gt;</t>
  </si>
  <si>
    <t>&lt;display-name&gt;ON Sports News&lt;/display-name&gt;</t>
  </si>
  <si>
    <t>&lt;channel id="ongolf"&gt;</t>
  </si>
  <si>
    <t>&lt;display-name&gt;ON Golf&lt;/display-name&gt;</t>
  </si>
  <si>
    <t>&lt;channel id="onviegiaitri"&gt;</t>
  </si>
  <si>
    <t>&lt;display-name&gt;ON Vie Giải Trí&lt;/display-name&gt;</t>
  </si>
  <si>
    <t>&lt;channel id="onphimviet"&gt;</t>
  </si>
  <si>
    <t>&lt;display-name&gt;ON Phim Việt&lt;/display-name&gt;</t>
  </si>
  <si>
    <t>&lt;channel id="onmovies"&gt;</t>
  </si>
  <si>
    <t>&lt;display-name&gt;ON Movies&lt;/display-name&gt;</t>
  </si>
  <si>
    <t>&lt;channel id="onechannel"&gt;</t>
  </si>
  <si>
    <t>&lt;display-name&gt;ON E Channel&lt;/display-name&gt;</t>
  </si>
  <si>
    <t>&lt;channel id="oncine"&gt;</t>
  </si>
  <si>
    <t>&lt;display-name&gt;ON Cine&lt;/display-name&gt;</t>
  </si>
  <si>
    <t>&lt;channel id="onbibi"&gt;</t>
  </si>
  <si>
    <t>&lt;display-name&gt;ON BiBi&lt;/display-name&gt;</t>
  </si>
  <si>
    <t>&lt;channel id="oninfotv"&gt;</t>
  </si>
  <si>
    <t>&lt;display-name&gt;ON Info TV&lt;/display-name&gt;</t>
  </si>
  <si>
    <t>&lt;channel id="ono2tv"&gt;</t>
  </si>
  <si>
    <t>&lt;display-name&gt;ON O2TV&lt;/display-name&gt;</t>
  </si>
  <si>
    <t>&lt;channel id="onstyle"&gt;</t>
  </si>
  <si>
    <t>&lt;display-name&gt;ON Style TV&lt;/display-name&gt;</t>
  </si>
  <si>
    <t>&lt;channel id="onmusic"&gt;</t>
  </si>
  <si>
    <t>&lt;display-name&gt;ON Music&lt;/display-name&gt;</t>
  </si>
  <si>
    <t>&lt;channel id="ontrending"&gt;</t>
  </si>
  <si>
    <t>&lt;display-name&gt;ON Trending&lt;/display-name&gt;</t>
  </si>
  <si>
    <t>&lt;channel id="onviedramas"&gt;</t>
  </si>
  <si>
    <t>&lt;display-name&gt;ON Vie Dramas&lt;/display-name&gt;</t>
  </si>
  <si>
    <t>&lt;channel id="onvfamily"&gt;</t>
  </si>
  <si>
    <t>&lt;display-name&gt;ON VFamily&lt;/display-name&gt;</t>
  </si>
  <si>
    <t>&lt;channel id="onkids"&gt;</t>
  </si>
  <si>
    <t>&lt;display-name&gt;ON Kids&lt;/display-name&gt;</t>
  </si>
  <si>
    <t>&lt;channel id="onlife"&gt;</t>
  </si>
  <si>
    <t>&lt;display-name&gt;ON Life&lt;/display-name&gt;</t>
  </si>
  <si>
    <t>&lt;channel id="htv1"&gt;</t>
  </si>
  <si>
    <t>&lt;display-name&gt;HTV1&lt;/display-name&gt;</t>
  </si>
  <si>
    <t>&lt;channel id="htv2hd"&gt;</t>
  </si>
  <si>
    <t>&lt;channel id="htv3"&gt;</t>
  </si>
  <si>
    <t>&lt;display-name&gt;HTV3&lt;/display-name&gt;</t>
  </si>
  <si>
    <t>&lt;channel id="htv4"&gt;</t>
  </si>
  <si>
    <t>&lt;display-name&gt;HTV4&lt;/display-name&gt;</t>
  </si>
  <si>
    <t>&lt;channel id="htv5"&gt;</t>
  </si>
  <si>
    <t>&lt;channel id="htv7hd"&gt;</t>
  </si>
  <si>
    <t>&lt;display-name&gt;HTV7&lt;/display-name&gt;</t>
  </si>
  <si>
    <t>&lt;channel id="htv9hd"&gt;</t>
  </si>
  <si>
    <t>&lt;display-name&gt;HTV9&lt;/display-name&gt;</t>
  </si>
  <si>
    <t>&lt;channel id="htvthethaohd"&gt;</t>
  </si>
  <si>
    <t>&lt;display-name&gt;HTV Thể Thao&lt;/display-name&gt;</t>
  </si>
  <si>
    <t>&lt;channel id="htvcthuanviet"&gt;</t>
  </si>
  <si>
    <t>&lt;display-name&gt;HTVC Thuần Việt&lt;/display-name&gt;</t>
  </si>
  <si>
    <t>&lt;channel id="htvcgiadinhhd"&gt;</t>
  </si>
  <si>
    <t>&lt;display-name&gt;HTVC Gia Đình&lt;/display-name&gt;</t>
  </si>
  <si>
    <t>&lt;channel id="htvcphunuhd"&gt;</t>
  </si>
  <si>
    <t>&lt;display-name&gt;HTVC Phụ Nữ&lt;/display-name&gt;</t>
  </si>
  <si>
    <t>&lt;channel id="htvccanhachd"&gt;</t>
  </si>
  <si>
    <t>&lt;display-name&gt;HTVC Ca Nhạc&lt;/display-name&gt;</t>
  </si>
  <si>
    <t>&lt;channel id="htvcphimhd"&gt;</t>
  </si>
  <si>
    <t>&lt;display-name&gt;HTVC Phim&lt;/display-name&gt;</t>
  </si>
  <si>
    <t>&lt;channel id="htvcdulichhd"&gt;</t>
  </si>
  <si>
    <t>&lt;display-name&gt;HTVC Du Lịch và Cuộc Sống&lt;/display-name&gt;</t>
  </si>
  <si>
    <t>&lt;channel id="htvcplushd"&gt;</t>
  </si>
  <si>
    <t>&lt;display-name&gt;HTVC Plus&lt;/display-name&gt;</t>
  </si>
  <si>
    <t>&lt;channel id="sctv1hd"&gt;</t>
  </si>
  <si>
    <t>&lt;display-name&gt;SCTV1&lt;/display-name&gt;</t>
  </si>
  <si>
    <t>&lt;channel id="sctv2hd"&gt;</t>
  </si>
  <si>
    <t>&lt;display-name&gt;SCTV2&lt;/display-name&gt;</t>
  </si>
  <si>
    <t>&lt;channel id="sctv3hd"&gt;</t>
  </si>
  <si>
    <t>&lt;display-name&gt;SCTV3&lt;/display-name&gt;</t>
  </si>
  <si>
    <t>&lt;channel id="sctv4hd"&gt;</t>
  </si>
  <si>
    <t>&lt;display-name&gt;SCTV4&lt;/display-name&gt;</t>
  </si>
  <si>
    <t>&lt;channel id="sctv6hd"&gt;</t>
  </si>
  <si>
    <t>&lt;display-name&gt;SCTV6&lt;/display-name&gt;</t>
  </si>
  <si>
    <t>&lt;channel id="sctv7hd"&gt;</t>
  </si>
  <si>
    <t>&lt;display-name&gt;SCTV7&lt;/display-name&gt;</t>
  </si>
  <si>
    <t>&lt;channel id="sctv8hd"&gt;</t>
  </si>
  <si>
    <t>&lt;display-name&gt;SCTV8&lt;/display-name&gt;</t>
  </si>
  <si>
    <t>&lt;channel id="sctv9hd"&gt;</t>
  </si>
  <si>
    <t>&lt;display-name&gt;SCTV9&lt;/display-name&gt;</t>
  </si>
  <si>
    <t>&lt;channel id="sctv11hd"&gt;</t>
  </si>
  <si>
    <t>&lt;display-name&gt;SCTV11&lt;/display-name&gt;</t>
  </si>
  <si>
    <t>&lt;channel id="sctv12hd"&gt;</t>
  </si>
  <si>
    <t>&lt;display-name&gt;SCTV12&lt;/display-name&gt;</t>
  </si>
  <si>
    <t>&lt;channel id="sctv13hd"&gt;</t>
  </si>
  <si>
    <t>&lt;display-name&gt;SCTV13&lt;/display-name&gt;</t>
  </si>
  <si>
    <t>&lt;channel id="sctv14hd"&gt;</t>
  </si>
  <si>
    <t>&lt;display-name&gt;SCTV14&lt;/display-name&gt;</t>
  </si>
  <si>
    <t>&lt;channel id="sctv15hd"&gt;</t>
  </si>
  <si>
    <t>&lt;display-name&gt;SCTV15&lt;/display-name&gt;</t>
  </si>
  <si>
    <t>&lt;channel id="sctv16hd"&gt;</t>
  </si>
  <si>
    <t>&lt;display-name&gt;SCTV16&lt;/display-name&gt;</t>
  </si>
  <si>
    <t>&lt;channel id="sctv17hd"&gt;</t>
  </si>
  <si>
    <t>&lt;display-name&gt;SCTV17&lt;/display-name&gt;</t>
  </si>
  <si>
    <t>&lt;channel id="sctv18hd"&gt;</t>
  </si>
  <si>
    <t>&lt;display-name&gt;SCTV18&lt;/display-name&gt;</t>
  </si>
  <si>
    <t>&lt;channel id="sctv19hd"&gt;</t>
  </si>
  <si>
    <t>&lt;display-name&gt;SCTV19&lt;/display-name&gt;</t>
  </si>
  <si>
    <t>&lt;channel id="sctv20hd"&gt;</t>
  </si>
  <si>
    <t>&lt;display-name&gt;SCTV20&lt;/display-name&gt;</t>
  </si>
  <si>
    <t>&lt;channel id="sctv21hd"&gt;</t>
  </si>
  <si>
    <t>&lt;display-name&gt;SCTV21&lt;/display-name&gt;</t>
  </si>
  <si>
    <t>&lt;channel id="sctv22hd"&gt;</t>
  </si>
  <si>
    <t>&lt;display-name&gt;SCTV22&lt;/display-name&gt;</t>
  </si>
  <si>
    <t>&lt;channel id="sctvhdpth"&gt;</t>
  </si>
  <si>
    <t>&lt;display-name&gt;SCTV Phim Tổng Hợp&lt;/display-name&gt;</t>
  </si>
  <si>
    <t>&lt;channel id="sctv4k"&gt;</t>
  </si>
  <si>
    <t>&lt;display-name&gt;SCTV4K&lt;/display-name&gt;</t>
  </si>
  <si>
    <t>&lt;channel id="angiang1"&gt;</t>
  </si>
  <si>
    <t>&lt;display-name&gt;An Giang 1&lt;/display-name&gt;</t>
  </si>
  <si>
    <t>&lt;channel id="angiang2"&gt;</t>
  </si>
  <si>
    <t>&lt;display-name&gt;An Giang 2&lt;/display-name&gt;</t>
  </si>
  <si>
    <t>&lt;channel id="angiang3"&gt;</t>
  </si>
  <si>
    <t>&lt;display-name&gt;An Giang 3&lt;/display-name&gt;</t>
  </si>
  <si>
    <t>&lt;channel id="bacninh"&gt;</t>
  </si>
  <si>
    <t>&lt;display-name&gt;Bắc Ninh&lt;/display-name&gt;</t>
  </si>
  <si>
    <t>&lt;channel id="cantho1"&gt;</t>
  </si>
  <si>
    <t>&lt;channel id="cantho2"&gt;</t>
  </si>
  <si>
    <t>&lt;channel id="cantho3"&gt;</t>
  </si>
  <si>
    <t>&lt;channel id="camau"&gt;</t>
  </si>
  <si>
    <t>&lt;display-name&gt;Cà Mau&lt;/display-name&gt;</t>
  </si>
  <si>
    <t>&lt;channel id="caobang"&gt;</t>
  </si>
  <si>
    <t>&lt;channel id="daklak"&gt;</t>
  </si>
  <si>
    <t>&lt;display-name&gt;Đắk Lắk&lt;/display-name&gt;</t>
  </si>
  <si>
    <t>&lt;channel id="dienbien"&gt;</t>
  </si>
  <si>
    <t>&lt;display-name&gt;Điện Biên&lt;/display-name&gt;</t>
  </si>
  <si>
    <t>&lt;channel id="danang1"&gt;</t>
  </si>
  <si>
    <t>&lt;display-name&gt;Đà Nẵng 1&lt;/display-name&gt;</t>
  </si>
  <si>
    <t>&lt;channel id="danang2"&gt;</t>
  </si>
  <si>
    <t>&lt;display-name&gt;Đà Nẵng 2&lt;/display-name&gt;</t>
  </si>
  <si>
    <t>&lt;channel id="dongnai1"&gt;</t>
  </si>
  <si>
    <t>&lt;display-name&gt;Đồng Nai 1&lt;/display-name&gt;</t>
  </si>
  <si>
    <t>&lt;channel id="dongnai2"&gt;</t>
  </si>
  <si>
    <t>&lt;display-name&gt;Đồng Nai 2&lt;/display-name&gt;</t>
  </si>
  <si>
    <t>&lt;channel id="dongthap1"&gt;</t>
  </si>
  <si>
    <t>&lt;display-name&gt;Đồng Tháp 1&lt;/display-name&gt;</t>
  </si>
  <si>
    <t>&lt;channel id="dongthap2"&gt;</t>
  </si>
  <si>
    <t>&lt;display-name&gt;Đồng Tháp 2&lt;/display-name&gt;</t>
  </si>
  <si>
    <t>&lt;channel id="gialai"&gt;</t>
  </si>
  <si>
    <t>&lt;display-name&gt;Gia Lai&lt;/display-name&gt;</t>
  </si>
  <si>
    <t>&lt;channel id="hanoi1"&gt;</t>
  </si>
  <si>
    <t>&lt;display-name&gt;Hà Nội 1&lt;/display-name&gt;</t>
  </si>
  <si>
    <t>&lt;channel id="hanoi2"&gt;</t>
  </si>
  <si>
    <t>&lt;display-name&gt;Hà Nội 2&lt;/display-name&gt;</t>
  </si>
  <si>
    <t>&lt;channel id="hitv"&gt;</t>
  </si>
  <si>
    <t>&lt;display-name&gt;HiTV&lt;/display-name&gt;</t>
  </si>
  <si>
    <t>&lt;channel id="youtv"&gt;</t>
  </si>
  <si>
    <t>&lt;display-name&gt;YouTV&lt;/display-name&gt;</t>
  </si>
  <si>
    <t>&lt;channel id="hatinh"&gt;</t>
  </si>
  <si>
    <t>&lt;display-name&gt;Hà Tĩnh&lt;/display-name&gt;</t>
  </si>
  <si>
    <t>&lt;channel id="haiphong"&gt;</t>
  </si>
  <si>
    <t>&lt;display-name&gt;Hải Phòng&lt;/display-name&gt;</t>
  </si>
  <si>
    <t>&lt;channel id="haiphong3"&gt;</t>
  </si>
  <si>
    <t>&lt;display-name&gt;Hải Phòng 3&lt;/display-name&gt;</t>
  </si>
  <si>
    <t>&lt;channel id="hue"&gt;</t>
  </si>
  <si>
    <t>&lt;display-name&gt;Huế&lt;/display-name&gt;</t>
  </si>
  <si>
    <t>&lt;channel id="hungyen"&gt;</t>
  </si>
  <si>
    <t>&lt;display-name&gt;Hưng Yên&lt;/display-name&gt;</t>
  </si>
  <si>
    <t>&lt;channel id="khanhhoa"&gt;</t>
  </si>
  <si>
    <t>&lt;display-name&gt;Khánh Hòa&lt;/display-name&gt;</t>
  </si>
  <si>
    <t>&lt;channel id="khanhhoa1"&gt;</t>
  </si>
  <si>
    <t>&lt;display-name&gt;Khánh Hòa 1&lt;/display-name&gt;</t>
  </si>
  <si>
    <t>&lt;channel id="laichau"&gt;</t>
  </si>
  <si>
    <t>&lt;display-name&gt;Lai Châu&lt;/display-name&gt;</t>
  </si>
  <si>
    <t>&lt;channel id="lamdong1"&gt;</t>
  </si>
  <si>
    <t>&lt;display-name&gt;Lâm Đồng 1&lt;/display-name&gt;</t>
  </si>
  <si>
    <t>&lt;channel id="lamdong2"&gt;</t>
  </si>
  <si>
    <t>&lt;display-name&gt;Lâm Đồng 2&lt;/display-name&gt;</t>
  </si>
  <si>
    <t>&lt;channel id="langson"&gt;</t>
  </si>
  <si>
    <t>&lt;display-name&gt;Lạng Sơn&lt;/display-name&gt;</t>
  </si>
  <si>
    <t>&lt;channel id="laocai"&gt;</t>
  </si>
  <si>
    <t>&lt;display-name&gt;Lào Cai&lt;/display-name&gt;</t>
  </si>
  <si>
    <t>&lt;channel id="nghean"&gt;</t>
  </si>
  <si>
    <t>&lt;display-name&gt;Nghệ An&lt;/display-name&gt;</t>
  </si>
  <si>
    <t>&lt;channel id="ninhbinh"&gt;</t>
  </si>
  <si>
    <t>&lt;display-name&gt;Ninh Bình&lt;/display-name&gt;</t>
  </si>
  <si>
    <t>&lt;channel id="phutho"&gt;</t>
  </si>
  <si>
    <t>&lt;display-name&gt;Phú Thọ&lt;/display-name&gt;</t>
  </si>
  <si>
    <t>&lt;channel id="quangngai"&gt;</t>
  </si>
  <si>
    <t>&lt;display-name&gt;Quảng Ngãi 1&lt;/display-name&gt;</t>
  </si>
  <si>
    <t>&lt;channel id="quangngai2"&gt;</t>
  </si>
  <si>
    <t>&lt;display-name&gt;Quảng Ngãi 2&lt;/display-name&gt;</t>
  </si>
  <si>
    <t>&lt;channel id="quangninh1"&gt;</t>
  </si>
  <si>
    <t>&lt;display-name&gt;Quảng Ninh 1&lt;/display-name&gt;</t>
  </si>
  <si>
    <t>&lt;channel id="quangninh3"&gt;</t>
  </si>
  <si>
    <t>&lt;display-name&gt;Quảng Ninh 3&lt;/display-name&gt;</t>
  </si>
  <si>
    <t>&lt;channel id="quangtri"&gt;</t>
  </si>
  <si>
    <t>&lt;display-name&gt;Quảng Trị&lt;/display-name&gt;</t>
  </si>
  <si>
    <t>&lt;channel id="sonla"&gt;</t>
  </si>
  <si>
    <t>&lt;display-name&gt;Sơn La&lt;/display-name&gt;</t>
  </si>
  <si>
    <t>&lt;channel id="tayninh1"&gt;</t>
  </si>
  <si>
    <t>&lt;display-name&gt;Tây Ninh&lt;/display-name&gt;</t>
  </si>
  <si>
    <t>&lt;channel id="thainguyen"&gt;</t>
  </si>
  <si>
    <t>&lt;display-name&gt;Thái Nguyên&lt;/display-name&gt;</t>
  </si>
  <si>
    <t>&lt;channel id="thanhhoa"&gt;</t>
  </si>
  <si>
    <t>&lt;display-name&gt;Thanh Hóa&lt;/display-name&gt;</t>
  </si>
  <si>
    <t>&lt;channel id="tuyenquang"&gt;</t>
  </si>
  <si>
    <t>&lt;display-name&gt;Tuyên Quang&lt;/display-name&gt;</t>
  </si>
  <si>
    <t>&lt;channel id="vinhlong1hd"&gt;</t>
  </si>
  <si>
    <t>&lt;display-name&gt;Vĩnh Long 1&lt;/display-name&gt;</t>
  </si>
  <si>
    <t>&lt;channel id="vinhlong2hd"&gt;</t>
  </si>
  <si>
    <t>&lt;display-name&gt;Vĩnh Long 2&lt;/display-name&gt;</t>
  </si>
  <si>
    <t>&lt;channel id="vinhlong3hd"&gt;</t>
  </si>
  <si>
    <t>&lt;display-name&gt;Vĩnh Long 3&lt;/display-name&gt;</t>
  </si>
  <si>
    <t>&lt;channel id="vinhlong4hd"&gt;</t>
  </si>
  <si>
    <t>&lt;display-name&gt;Vĩnh Long 4&lt;/display-name&gt;</t>
  </si>
  <si>
    <t>&lt;channel id="vinhlong5hd"&gt;</t>
  </si>
  <si>
    <t>&lt;display-name&gt;Vĩnh Long 5&lt;/display-name&gt;</t>
  </si>
  <si>
    <t>&lt;channel id="hbohd"&gt;</t>
  </si>
  <si>
    <t>&lt;display-name&gt;HBO&lt;/display-name&gt;</t>
  </si>
  <si>
    <t>&lt;channel id="cinemaxhd"&gt;</t>
  </si>
  <si>
    <t>&lt;display-name&gt;Cinemax&lt;/display-name&gt;</t>
  </si>
  <si>
    <t>&lt;channel id="cinemaworldhd"&gt;</t>
  </si>
  <si>
    <t>&lt;display-name&gt;Cinema World&lt;/display-name&gt;</t>
  </si>
  <si>
    <t>&lt;channel id="dreamworks"&gt;</t>
  </si>
  <si>
    <t>&lt;display-name&gt;Dreamworks&lt;/display-name&gt;</t>
  </si>
  <si>
    <t>&lt;channel id="cartoonhd"&gt;</t>
  </si>
  <si>
    <t>&lt;display-name&gt;Cartoon Network&lt;/display-name&gt;</t>
  </si>
  <si>
    <t>&lt;channel id="boomerang"&gt;</t>
  </si>
  <si>
    <t>&lt;display-name&gt;Cartoonito&lt;/display-name&gt;</t>
  </si>
  <si>
    <t>&lt;channel id="cbeebies"&gt;</t>
  </si>
  <si>
    <t>&lt;display-name&gt;BBC Cbeebies&lt;/display-name&gt;</t>
  </si>
  <si>
    <t>&lt;channel id="axnhd"&gt;</t>
  </si>
  <si>
    <t>&lt;channel id="warnertvhd"&gt;</t>
  </si>
  <si>
    <t>&lt;channel id="fashionhd"&gt;</t>
  </si>
  <si>
    <t>&lt;channel id="animalhd"&gt;</t>
  </si>
  <si>
    <t>&lt;display-name&gt;Animal Planet&lt;/display-name&gt;</t>
  </si>
  <si>
    <t>&lt;channel id="tlchd"&gt;</t>
  </si>
  <si>
    <t>&lt;channel id="discoveryhd"&gt;</t>
  </si>
  <si>
    <t>&lt;display-name&gt;Discovery&lt;/display-name&gt;</t>
  </si>
  <si>
    <t>&lt;channel id="discoveryasiahd"&gt;</t>
  </si>
  <si>
    <t>&lt;display-name&gt;Discovery Asia&lt;/display-name&gt;</t>
  </si>
  <si>
    <t>&lt;channel id="bbcearth"&gt;</t>
  </si>
  <si>
    <t>&lt;display-name&gt;BBC Earth&lt;/display-name&gt;</t>
  </si>
  <si>
    <t>&lt;channel id="bbclifestyle"&gt;</t>
  </si>
  <si>
    <t>&lt;display-name&gt;BBC Lifestyle&lt;/display-name&gt;</t>
  </si>
  <si>
    <t>&lt;channel id="bbcworldnews"&gt;</t>
  </si>
  <si>
    <t>&lt;display-name&gt;BBC News&lt;/display-name&gt;</t>
  </si>
  <si>
    <t>&lt;channel id="cnn"&gt;</t>
  </si>
  <si>
    <t>&lt;display-name&gt;CNN&lt;/display-name&gt;</t>
  </si>
  <si>
    <t>&lt;channel id="abcaustralia"&gt;</t>
  </si>
  <si>
    <t>&lt;display-name&gt;ABC Australia&lt;/display-name&gt;</t>
  </si>
  <si>
    <t>&lt;channel id="bloomberg"&gt;</t>
  </si>
  <si>
    <t>&lt;display-name&gt;Bloomberg&lt;/display-name&gt;</t>
  </si>
  <si>
    <t>&lt;channel id="dmax"&gt;</t>
  </si>
  <si>
    <t>&lt;display-name&gt;DMAX&lt;/display-name&gt;</t>
  </si>
  <si>
    <t>&lt;channel id="outdoorhd"&gt;</t>
  </si>
  <si>
    <t>&lt;channel id="cna"&gt;</t>
  </si>
  <si>
    <t>&lt;display-name&gt;CNA&lt;/display-name&gt;</t>
  </si>
  <si>
    <t>&lt;channel id="afnhd"&gt;</t>
  </si>
  <si>
    <t>&lt;display-name&gt;Asian Food Network&lt;/display-name&gt;</t>
  </si>
  <si>
    <t>&lt;channel id="hgtv"&gt;</t>
  </si>
  <si>
    <t>&lt;display-name&gt;HGTV&lt;/display-name&gt;</t>
  </si>
  <si>
    <t>&lt;channel id="historyhd"&gt;</t>
  </si>
  <si>
    <t>&lt;display-name&gt;History Channel&lt;/display-name&gt;</t>
  </si>
  <si>
    <t>&lt;channel id="kix"&gt;</t>
  </si>
  <si>
    <t>&lt;display-name&gt;KIX&lt;/display-name&gt;</t>
  </si>
  <si>
    <t>&lt;channel id="cgtn"&gt;</t>
  </si>
  <si>
    <t>&lt;display-name&gt;CGTN&lt;/display-name&gt;</t>
  </si>
  <si>
    <t>&lt;channel id="cgtndocu"&gt;</t>
  </si>
  <si>
    <t>&lt;display-name&gt;CGTN Documentary&lt;/display-name&gt;</t>
  </si>
  <si>
    <t>&lt;channel id="cnbc"&gt;</t>
  </si>
  <si>
    <t>&lt;display-name&gt;CNBC&lt;/display-name&gt;</t>
  </si>
  <si>
    <t>&lt;channel id="nhkworld"&gt;</t>
  </si>
  <si>
    <t>&lt;display-name&gt;NHK World&lt;/display-name&gt;</t>
  </si>
  <si>
    <t>&lt;channel id="france24eng"&gt;</t>
  </si>
  <si>
    <t>&lt;display-name&gt;France 24&lt;/display-name&gt;</t>
  </si>
  <si>
    <t>&lt;channel id="tv5monde"&gt;</t>
  </si>
  <si>
    <t>&lt;channel id="dw"&gt;</t>
  </si>
  <si>
    <t>&lt;display-name&gt;DW&lt;/display-name&gt;</t>
  </si>
  <si>
    <t>&lt;channel id="arirang"&gt;</t>
  </si>
  <si>
    <t>&lt;display-name&gt;Arirang&lt;/display-name&gt;</t>
  </si>
  <si>
    <t>&lt;channel id="davinci"&gt;</t>
  </si>
  <si>
    <t>&lt;display-name&gt;DaVinci&lt;/display-name&gt;</t>
  </si>
  <si>
    <t>&lt;channel id="kbsworld"&gt;</t>
  </si>
  <si>
    <t>&lt;display-name&gt;KBS World&lt;/display-name&gt;</t>
  </si>
  <si>
    <t>&lt;channel id="boxmovie1"&gt;</t>
  </si>
  <si>
    <t>&lt;display-name&gt;Box Movies 1&lt;/display-name&gt;</t>
  </si>
  <si>
    <t>&lt;channel id="hollywoodclassics"&gt;</t>
  </si>
  <si>
    <t>&lt;display-name&gt;Hollywood Classics&lt;/display-name&gt;</t>
  </si>
  <si>
    <t>&lt;channel id="boxhits"&gt;</t>
  </si>
  <si>
    <t>&lt;display-name&gt;Box Hits&lt;/display-name&gt;</t>
  </si>
  <si>
    <t>&lt;channel id="woman"&gt;</t>
  </si>
  <si>
    <t>&lt;display-name&gt;Woman&lt;/display-name&gt;</t>
  </si>
  <si>
    <t>&lt;channel id="musicbox"&gt;</t>
  </si>
  <si>
    <t>&lt;display-name&gt;Music Box&lt;/display-name&gt;</t>
  </si>
  <si>
    <t>&lt;channel id="happykids"&gt;</t>
  </si>
  <si>
    <t>&lt;display-name&gt;Happy Kids&lt;/display-name&gt;</t>
  </si>
  <si>
    <t>&lt;channel id="spotv1"&gt;</t>
  </si>
  <si>
    <t>&lt;display-name&gt;SPOTV&lt;/display-name&gt;</t>
  </si>
  <si>
    <t>&lt;channel id="spotv2"&gt;</t>
  </si>
  <si>
    <t>&lt;display-name&gt;SPOTV2&lt;/display-name&gt;</t>
  </si>
  <si>
    <t>&lt;channel id="wsport"&gt;</t>
  </si>
  <si>
    <t>&lt;display-name&gt;W-Sport&lt;/display-name&gt;</t>
  </si>
  <si>
    <t>&lt;channel id="tvnasia"&gt;</t>
  </si>
  <si>
    <t>&lt;display-name&gt;tvN&lt;/display-name&gt;</t>
  </si>
  <si>
    <t>&lt;channel id="kplushd"&gt;</t>
  </si>
  <si>
    <t>&lt;display-name&gt;K+&lt;/display-name&gt;</t>
  </si>
  <si>
    <t>&lt;channel id="tvnmovies"&gt;</t>
  </si>
  <si>
    <t>&lt;display-name&gt;tvN Movies&lt;/display-name&gt;</t>
  </si>
  <si>
    <t>&lt;channel id="lovenature4k"&gt;</t>
  </si>
  <si>
    <t>&lt;display-name&gt;Love Nature 4K&lt;/display-name&gt;</t>
  </si>
  <si>
    <t>&lt;channel id="tvbvn"&gt;</t>
  </si>
  <si>
    <t>&lt;display-name&gt;TVB VietNam&lt;/display-name&gt;</t>
  </si>
  <si>
    <t>&lt;channel id="mytv801"&gt;</t>
  </si>
  <si>
    <t>&lt;display-name&gt;Sự kiện MyTV 801&lt;/display-name&gt;</t>
  </si>
  <si>
    <t>&lt;channel id="mytv802"&gt;</t>
  </si>
  <si>
    <t>&lt;display-name&gt;Sự kiện MyTV 802&lt;/display-name&gt;</t>
  </si>
  <si>
    <t>&lt;channel id="mytv803"&gt;</t>
  </si>
  <si>
    <t>&lt;display-name&gt;Sự kiện MyTV 803&lt;/display-name&gt;</t>
  </si>
  <si>
    <t>&lt;channel id="mytv804"&gt;</t>
  </si>
  <si>
    <t>&lt;display-name&gt;Sự kiện MyTV 804&lt;/display-name&gt;</t>
  </si>
  <si>
    <t>&lt;channel id="mytv806"&gt;</t>
  </si>
  <si>
    <t>&lt;display-name&gt;Sự kiện MyTV 806&lt;/display-name&gt;</t>
  </si>
  <si>
    <t>&lt;channel id="mytv807"&gt;</t>
  </si>
  <si>
    <t>&lt;display-name&gt;Sự kiện MyTV 807&lt;/display-name&gt;</t>
  </si>
  <si>
    <t>&lt;channel id="mytv903"&gt;</t>
  </si>
  <si>
    <t>&lt;display-name&gt;Sự kiện MyTV 903&lt;/display-name&gt;</t>
  </si>
  <si>
    <t>&lt;channel id="mytv904"&gt;</t>
  </si>
  <si>
    <t>&lt;display-name&gt;Sự kiện MyTV 904&lt;/display-name&gt;</t>
  </si>
  <si>
    <t>&lt;channel id="mytv905"&gt;</t>
  </si>
  <si>
    <t>&lt;display-name&gt;Sự kiện MyTV 905&lt;/display-name&gt;</t>
  </si>
  <si>
    <t>&lt;channel id="mytv906"&gt;</t>
  </si>
  <si>
    <t>&lt;display-name&gt;Sự kiện MyTV 906&lt;/display-name&gt;</t>
  </si>
  <si>
    <t>&lt;channel id="tv360plus1"&gt;</t>
  </si>
  <si>
    <t>&lt;display-name&gt;TV360+1&lt;/display-name&gt;</t>
  </si>
  <si>
    <t>&lt;channel id="tv360plus2"&gt;</t>
  </si>
  <si>
    <t>&lt;display-name&gt;TV360+2&lt;/display-name&gt;</t>
  </si>
  <si>
    <t>&lt;channel id="tv360plus3"&gt;</t>
  </si>
  <si>
    <t>&lt;display-name&gt;TV360+3&lt;/display-name&gt;</t>
  </si>
  <si>
    <t>&lt;channel id="tv360plus4"&gt;</t>
  </si>
  <si>
    <t>&lt;display-name&gt;TV360+4&lt;/display-name&gt;</t>
  </si>
  <si>
    <t>&lt;channel id="tv360plus5"&gt;</t>
  </si>
  <si>
    <t>&lt;display-name&gt;TV360+5&lt;/display-name&gt;</t>
  </si>
  <si>
    <t>&lt;channel id="tv360plus6"&gt;</t>
  </si>
  <si>
    <t>&lt;display-name&gt;TV360+6&lt;/display-name&gt;</t>
  </si>
  <si>
    <t>&lt;channel id="tv360plus7"&gt;</t>
  </si>
  <si>
    <t>&lt;display-name&gt;TV360+7&lt;/display-name&gt;</t>
  </si>
  <si>
    <t>&lt;channel id="tv360plus8"&gt;</t>
  </si>
  <si>
    <t>&lt;display-name&gt;TV360+8&lt;/display-name&gt;</t>
  </si>
  <si>
    <t>&lt;channel id="tv360plus9"&gt;</t>
  </si>
  <si>
    <t>&lt;display-name&gt;TV360+9&lt;/display-name&gt;</t>
  </si>
  <si>
    <t>&lt;channel id="tv360plus10"&gt;</t>
  </si>
  <si>
    <t>&lt;display-name&gt;TV360+10&lt;/display-name&gt;</t>
  </si>
  <si>
    <t>&lt;channel id="tv360plus11"&gt;</t>
  </si>
  <si>
    <t>&lt;display-name&gt;TV360+11&lt;/display-name&gt;</t>
  </si>
  <si>
    <t>&lt;channel id="tv360plus12"&gt;</t>
  </si>
  <si>
    <t>&lt;display-name&gt;TV360+12&lt;/display-name&gt;</t>
  </si>
  <si>
    <t>&lt;channel id="tv360plus13"&gt;</t>
  </si>
  <si>
    <t>&lt;display-name&gt;TV360+13&lt;/display-name&gt;</t>
  </si>
  <si>
    <t>&lt;channel id="tv360plus14"&gt;</t>
  </si>
  <si>
    <t>&lt;display-name&gt;TV360+14&lt;/display-name&gt;</t>
  </si>
  <si>
    <t>&lt;channel id="tv360plus15"&gt;</t>
  </si>
  <si>
    <t>&lt;display-name&gt;TV360+15&lt;/display-name&gt;</t>
  </si>
  <si>
    <t>&lt;channel id="vov1"&gt;</t>
  </si>
  <si>
    <t>&lt;display-name&gt;VOV1&lt;/display-name&gt;</t>
  </si>
  <si>
    <t>&lt;channel id="vov2"&gt;</t>
  </si>
  <si>
    <t>&lt;display-name&gt;VOV2&lt;/display-name&gt;</t>
  </si>
  <si>
    <t>&lt;channel id="vov3"&gt;</t>
  </si>
  <si>
    <t>&lt;display-name&gt;VOV3&lt;/display-name&gt;</t>
  </si>
  <si>
    <t>&lt;channel id="vov4tn"&gt;</t>
  </si>
  <si>
    <t>&lt;display-name&gt;VOV4 Tây Nguyên&lt;/display-name&gt;</t>
  </si>
  <si>
    <t>&lt;channel id="vov4mt"&gt;</t>
  </si>
  <si>
    <t>&lt;display-name&gt;VOV4 Miền Trung&lt;/display-name&gt;</t>
  </si>
  <si>
    <t>&lt;channel id="vov4tb"&gt;</t>
  </si>
  <si>
    <t>&lt;display-name&gt;VOV4 Tây Bắc - Đông Bắc&lt;/display-name&gt;</t>
  </si>
  <si>
    <t>&lt;channel id="vov4hcm"&gt;</t>
  </si>
  <si>
    <t>&lt;display-name&gt;VOV4 Hồ Chí Minh&lt;/display-name&gt;</t>
  </si>
  <si>
    <t>&lt;channel id="vov4scl"&gt;</t>
  </si>
  <si>
    <t>&lt;display-name&gt;VOV4 Đồng bằng Sông Cửu Long&lt;/display-name&gt;</t>
  </si>
  <si>
    <t>&lt;channel id="vov5"&gt;</t>
  </si>
  <si>
    <t>&lt;display-name&gt;VOV5&lt;/display-name&gt;</t>
  </si>
  <si>
    <t>&lt;channel id="vov247"&gt;</t>
  </si>
  <si>
    <t>&lt;display-name&gt;VOV5 English 24/7&lt;/display-name&gt;</t>
  </si>
  <si>
    <t>&lt;channel id="vovgthn"&gt;</t>
  </si>
  <si>
    <t>&lt;display-name&gt;VOV Giao thông Hà Nội&lt;/display-name&gt;</t>
  </si>
  <si>
    <t>&lt;channel id="vovgthcm"&gt;</t>
  </si>
  <si>
    <t>&lt;display-name&gt;VOV Giao thông Hồ Chí Minh&lt;/display-name&gt;</t>
  </si>
  <si>
    <t>&lt;channel id="vovgtmekong"&gt;</t>
  </si>
  <si>
    <t>&lt;display-name&gt;VOV Giao thông Mekong&lt;/display-name&gt;</t>
  </si>
  <si>
    <t>&lt;channel id="vovgtduyenhai"&gt;</t>
  </si>
  <si>
    <t>&lt;display-name&gt;VOV Giao thông Duyên Hải&lt;/display-name&gt;</t>
  </si>
  <si>
    <t>&lt;channel id="voh999"&gt;</t>
  </si>
  <si>
    <t>&lt;display-name&gt;VOH FM 99.9 MHz&lt;/display-name&gt;</t>
  </si>
  <si>
    <t>&lt;channel id="voh956"&gt;</t>
  </si>
  <si>
    <t>&lt;display-name&gt;VOH FM 95.6 MHz&lt;/display-name&gt;</t>
  </si>
  <si>
    <t>&lt;channel id="voh925"&gt;</t>
  </si>
  <si>
    <t>&lt;display-name&gt;VOH-M FM 92-92.5 MHz&lt;/display-name&gt;</t>
  </si>
  <si>
    <t>&lt;channel id="voh877"&gt;</t>
  </si>
  <si>
    <t>&lt;display-name&gt;VOH FM 87.7 MHz&lt;/display-name&gt;</t>
  </si>
  <si>
    <t>&lt;channel id="voh610"&gt;</t>
  </si>
  <si>
    <t>&lt;display-name&gt;VOH AM 610 kHz&lt;/display-name&gt;</t>
  </si>
  <si>
    <t>&lt;channel id="angiangradio1"&gt;</t>
  </si>
  <si>
    <t>&lt;display-name&gt;An Giang Radio&lt;/display-name&gt;</t>
  </si>
  <si>
    <t>&lt;channel id="bacninhradio"&gt;</t>
  </si>
  <si>
    <t>&lt;display-name&gt;Bắc Ninh Radio&lt;/display-name&gt;</t>
  </si>
  <si>
    <t>&lt;channel id="camauradio"&gt;</t>
  </si>
  <si>
    <t>&lt;display-name&gt;Cà Mau Radio&lt;/display-name&gt;</t>
  </si>
  <si>
    <t>&lt;channel id="canthoradio1"&gt;</t>
  </si>
  <si>
    <t>&lt;display-name&gt;Cần Thơ Radio 1&lt;/display-name&gt;</t>
  </si>
  <si>
    <t>&lt;channel id="canthoradio2"&gt;</t>
  </si>
  <si>
    <t>&lt;display-name&gt;Cần Thơ Radio 2&lt;/display-name&gt;</t>
  </si>
  <si>
    <t>&lt;channel id="daklakradio"&gt;</t>
  </si>
  <si>
    <t>&lt;display-name&gt;Đắk Lắk Radio&lt;/display-name&gt;</t>
  </si>
  <si>
    <t>&lt;channel id="dienbienradio"&gt;</t>
  </si>
  <si>
    <t>&lt;display-name&gt;Điện Biên Radio&lt;/display-name&gt;</t>
  </si>
  <si>
    <t>&lt;channel id="dongthapradio"&gt;</t>
  </si>
  <si>
    <t>&lt;display-name&gt;Đồng Tháp Radio&lt;/display-name&gt;</t>
  </si>
  <si>
    <t>&lt;channel id="dongnairadio"&gt;</t>
  </si>
  <si>
    <t>&lt;display-name&gt;Đồng Nai Radio&lt;/display-name&gt;</t>
  </si>
  <si>
    <t>&lt;channel id="hanoi90"&gt;</t>
  </si>
  <si>
    <t>&lt;display-name&gt;Hà Nội FM90&lt;/display-name&gt;</t>
  </si>
  <si>
    <t>&lt;channel id="hanoi96"&gt;</t>
  </si>
  <si>
    <t>&lt;display-name&gt;Hà Nội FM96&lt;/display-name&gt;</t>
  </si>
  <si>
    <t>&lt;channel id="hatinhradio"&gt;</t>
  </si>
  <si>
    <t>&lt;display-name&gt;Hà Tĩnh Radio&lt;/display-name&gt;</t>
  </si>
  <si>
    <t>&lt;channel id="haiphong937"&gt;</t>
  </si>
  <si>
    <t>&lt;display-name&gt;Hải Phòng FM 93.7&lt;/display-name&gt;</t>
  </si>
  <si>
    <t>&lt;channel id="haiphong1022"&gt;</t>
  </si>
  <si>
    <t>&lt;display-name&gt;Hải Phòng FM 102.2&lt;/display-name&gt;</t>
  </si>
  <si>
    <t>&lt;channel id="hungyenradio"&gt;</t>
  </si>
  <si>
    <t>&lt;display-name&gt;Hưng Yên Radio&lt;/display-name&gt;</t>
  </si>
  <si>
    <t>&lt;channel id="khanhhoaradio"&gt;</t>
  </si>
  <si>
    <t>&lt;display-name&gt;Khánh Hoà FM 106.5&lt;/display-name&gt;</t>
  </si>
  <si>
    <t>&lt;channel id="khanhhoaradio2"&gt;</t>
  </si>
  <si>
    <t>&lt;display-name&gt;Khánh Hoà FM 95&lt;/display-name&gt;</t>
  </si>
  <si>
    <t>&lt;channel id="langsonradio"&gt;</t>
  </si>
  <si>
    <t>&lt;display-name&gt;Lạng Sơn Radio&lt;/display-name&gt;</t>
  </si>
  <si>
    <t>&lt;channel id="lamdongradio1"&gt;</t>
  </si>
  <si>
    <t>&lt;display-name&gt;Lâm Đồng Radio 1&lt;/display-name&gt;</t>
  </si>
  <si>
    <t>&lt;channel id="lamdongradio2"&gt;</t>
  </si>
  <si>
    <t>&lt;display-name&gt;Lâm Đồng Radio 2&lt;/display-name&gt;</t>
  </si>
  <si>
    <t>&lt;channel id="ngheanradio"&gt;</t>
  </si>
  <si>
    <t>&lt;display-name&gt;Nghệ An Radio&lt;/display-name&gt;</t>
  </si>
  <si>
    <t>&lt;channel id="ninhbinhradio"&gt;</t>
  </si>
  <si>
    <t>&lt;display-name&gt;Ninh Bình Radio&lt;/display-name&gt;</t>
  </si>
  <si>
    <t>&lt;channel id="quangninhradio1"&gt;</t>
  </si>
  <si>
    <t>&lt;display-name&gt;Quảng Ninh Radio 1&lt;/display-name&gt;</t>
  </si>
  <si>
    <t>&lt;channel id="quangninhradio2"&gt;</t>
  </si>
  <si>
    <t>&lt;display-name&gt;Quảng Ninh Radio 2&lt;/display-name&gt;</t>
  </si>
  <si>
    <t>&lt;channel id="quangtriradio"&gt;</t>
  </si>
  <si>
    <t>&lt;display-name&gt;Quảng Trị Radio&lt;/display-name&gt;</t>
  </si>
  <si>
    <t>&lt;channel id="sonlaradio"&gt;</t>
  </si>
  <si>
    <t>&lt;display-name&gt;Sơn La Radio&lt;/display-name&gt;</t>
  </si>
  <si>
    <t>&lt;channel id="tayninhradio"&gt;</t>
  </si>
  <si>
    <t>&lt;display-name&gt;Tây Ninh Radio&lt;/display-name&gt;</t>
  </si>
  <si>
    <t>&lt;channel id="thainguyenradio"&gt;</t>
  </si>
  <si>
    <t>&lt;display-name&gt;Thái Nguyên Radio&lt;/display-name&gt;</t>
  </si>
  <si>
    <t>&lt;channel id="thanhhoaradio"&gt;</t>
  </si>
  <si>
    <t>&lt;display-name&gt;Thanh Hoá Radio&lt;/display-name&gt;</t>
  </si>
  <si>
    <t>&lt;channel id="vinhlongradio"&gt;</t>
  </si>
  <si>
    <t>&lt;display-name&gt;Vĩnh Long Radio&lt;/display-name&gt;</t>
  </si>
  <si>
    <t>&lt;display-name&gt;AXN HD&lt;/display-name&gt;</t>
  </si>
  <si>
    <t>&lt;display-name&gt;Cần Thơ TV1&lt;/display-name&gt;</t>
  </si>
  <si>
    <t>&lt;display-name&gt;Cần Thơ TV2&lt;/display-name&gt;</t>
  </si>
  <si>
    <t>&lt;display-name&gt;Cần Thơ TV3&lt;/display-name&gt;</t>
  </si>
  <si>
    <t>&lt;display-name&gt;Cao Bằng TV&lt;/display-name&gt;</t>
  </si>
  <si>
    <t>Cinema World</t>
  </si>
  <si>
    <t>DaVinci</t>
  </si>
  <si>
    <t>Discovery</t>
  </si>
  <si>
    <t>DMAX</t>
  </si>
  <si>
    <t>Đồng Tháp 1</t>
  </si>
  <si>
    <t>Đồng Tháp 2</t>
  </si>
  <si>
    <t>DreamWorks</t>
  </si>
  <si>
    <t>DW</t>
  </si>
  <si>
    <t>France 24</t>
  </si>
  <si>
    <t>&lt;display-name&gt;Fashion TV&lt;/display-name&gt;</t>
  </si>
  <si>
    <t>Fashion TV</t>
  </si>
  <si>
    <t>Hollywood Classics</t>
  </si>
  <si>
    <t>HTVC Phụ Nữ</t>
  </si>
  <si>
    <t>HTVC Thuần Việt</t>
  </si>
  <si>
    <t>HTV2</t>
  </si>
  <si>
    <t>&lt;display-name&gt;HTV2&lt;/display-name&gt;</t>
  </si>
  <si>
    <t>&lt;display-name&gt;HTV5&lt;/display-name&gt;</t>
  </si>
  <si>
    <t>HTV7</t>
  </si>
  <si>
    <t>HTV9</t>
  </si>
  <si>
    <t>HTVC Ca Nhạc</t>
  </si>
  <si>
    <t>HTVC Du Lịch và Cuộc Sống</t>
  </si>
  <si>
    <t>HTVC Gia Đình</t>
  </si>
  <si>
    <t>HTVC Phim</t>
  </si>
  <si>
    <t>HTVC Plus</t>
  </si>
  <si>
    <t>Huế</t>
  </si>
  <si>
    <t>Lâm Đồng 1</t>
  </si>
  <si>
    <t>Lâm Đồng 2</t>
  </si>
  <si>
    <t>Music Box</t>
  </si>
  <si>
    <t>ON Bibi</t>
  </si>
  <si>
    <t>ON Football</t>
  </si>
  <si>
    <t>ON MOVIES</t>
  </si>
  <si>
    <t>ON MUSIC</t>
  </si>
  <si>
    <t>ON Sports</t>
  </si>
  <si>
    <t>On Sports+</t>
  </si>
  <si>
    <t>ON Style TV</t>
  </si>
  <si>
    <t>ON Vfamily</t>
  </si>
  <si>
    <t>Outdoor</t>
  </si>
  <si>
    <t>&lt;display-name&gt;Outdoor&lt;/display-name&gt;</t>
  </si>
  <si>
    <t>QPVN</t>
  </si>
  <si>
    <t>Quảng Ngãi 1</t>
  </si>
  <si>
    <t>Quảng Ngãi 2</t>
  </si>
  <si>
    <t>SCTV Phim Tổng hợp</t>
  </si>
  <si>
    <t>SCTV22</t>
  </si>
  <si>
    <t>SCTV15</t>
  </si>
  <si>
    <t>SCTV17</t>
  </si>
  <si>
    <t>SPOTV</t>
  </si>
  <si>
    <t>SPOTV2</t>
  </si>
  <si>
    <t>Tây Ninh</t>
  </si>
  <si>
    <t>TLC</t>
  </si>
  <si>
    <t>&lt;display-name&gt;TLC&lt;/display-name&gt;</t>
  </si>
  <si>
    <t>&lt;display-name&gt;TV5 MONDE&lt;/display-name&gt;</t>
  </si>
  <si>
    <t>Vĩnh Long 1</t>
  </si>
  <si>
    <t>Vĩnh Long 2</t>
  </si>
  <si>
    <t>Vĩnh Long 3</t>
  </si>
  <si>
    <t>Vĩnh Long 4</t>
  </si>
  <si>
    <t>VTV1</t>
  </si>
  <si>
    <t>VTV2</t>
  </si>
  <si>
    <t>VTV3</t>
  </si>
  <si>
    <t>VTV4</t>
  </si>
  <si>
    <t>VTV5</t>
  </si>
  <si>
    <t>VTV6</t>
  </si>
  <si>
    <t>VTV7</t>
  </si>
  <si>
    <t>VTV8</t>
  </si>
  <si>
    <t>VTV9</t>
  </si>
  <si>
    <t>Warner</t>
  </si>
  <si>
    <t>VTV10</t>
  </si>
  <si>
    <t>VTV5 Tây Nam Bộ</t>
  </si>
  <si>
    <t>VTV5 Tây Nguyên</t>
  </si>
  <si>
    <t>&lt;display-name&gt;Warner&lt;/display-name&gt;</t>
  </si>
  <si>
    <t>CNA</t>
  </si>
  <si>
    <t>Animal Planet</t>
  </si>
  <si>
    <t>Asian Food Network</t>
  </si>
  <si>
    <t>Box Hits</t>
  </si>
  <si>
    <t>Cartoon 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</si>
</sst>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ytv_com_vn_channel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channel_id</v>
          </cell>
          <cell r="B1" t="str">
            <v>name</v>
          </cell>
          <cell r="C1" t="str">
            <v>url_b2b</v>
          </cell>
          <cell r="D1" t="str">
            <v>logo</v>
          </cell>
        </row>
        <row r="2">
          <cell r="A2">
            <v>210</v>
          </cell>
          <cell r="B2" t="str">
            <v>VTV1 HD</v>
          </cell>
          <cell r="C2" t="str">
            <v>rtp://232.84.1.117:10254</v>
          </cell>
          <cell r="D2" t="str">
            <v>https://s2129132.cdn.mytvnet.vn/vimages/09/99/9f/f7/7a/ab/099f7-pvtv1hd-channel-unkn.png</v>
          </cell>
        </row>
        <row r="3">
          <cell r="A3">
            <v>377</v>
          </cell>
          <cell r="B3" t="str">
            <v>VTV2 HD</v>
          </cell>
          <cell r="C3" t="str">
            <v>rtp://232.84.2.31:10594</v>
          </cell>
          <cell r="D3" t="str">
            <v>https://s2129132.cdn.mytvnet.vn/vimages/17/7c/c2/2c/c5/50/17c2c-pvtv2hd-channel-unkn.png</v>
          </cell>
        </row>
        <row r="4">
          <cell r="A4">
            <v>211</v>
          </cell>
          <cell r="B4" t="str">
            <v>VTV3 HD</v>
          </cell>
          <cell r="C4" t="str">
            <v>rtp://232.84.1.118:10260</v>
          </cell>
          <cell r="D4" t="str">
            <v>https://s2129132.cdn.mytvnet.vn/vimages/7a/a1/11/13/30/0c/7a113-pvtv3hd-channel-unkn.png</v>
          </cell>
        </row>
        <row r="5">
          <cell r="A5">
            <v>378</v>
          </cell>
          <cell r="B5" t="str">
            <v>VTV4 HD</v>
          </cell>
          <cell r="C5" t="str">
            <v>rtp://232.84.3.106:10600</v>
          </cell>
          <cell r="D5" t="str">
            <v>https://s2129132.cdn.mytvnet.vn/vimages/8f/ff/f9/93/31/1c/8ff93-pvtv4hd-channel-unkn.png</v>
          </cell>
        </row>
        <row r="6">
          <cell r="A6">
            <v>379</v>
          </cell>
          <cell r="B6" t="str">
            <v>VTV5 HD</v>
          </cell>
          <cell r="C6" t="str">
            <v>rtp://232.84.2.33:10606</v>
          </cell>
          <cell r="D6" t="str">
            <v>https://s2129132.cdn.mytvnet.vn/vimages/03/3c/c0/01/1e/e6/03c01-pvtv5hd-channel-unkn.png</v>
          </cell>
        </row>
        <row r="7">
          <cell r="A7">
            <v>857</v>
          </cell>
          <cell r="B7" t="str">
            <v>Vietnam Today</v>
          </cell>
          <cell r="C7" t="str">
            <v>rtp://232.84.1.234:10290</v>
          </cell>
          <cell r="D7" t="str">
            <v>https://s2129132.cdn.mytvnet.vn/vimages/64/4d/db/b8/80/03/64db8-pvietnamtoday-channel-unkn.png</v>
          </cell>
        </row>
        <row r="8">
          <cell r="A8">
            <v>6</v>
          </cell>
          <cell r="B8" t="str">
            <v>VTV6 HD</v>
          </cell>
          <cell r="C8" t="str">
            <v>rtp://232.84.3.18:11944</v>
          </cell>
          <cell r="D8" t="str">
            <v>https://s2129132.cdn.mytvnet.vn/vimages/9b/b0/05/5c/c3/31/9b05c-pvtv6ththaohd-channel-unkn.png</v>
          </cell>
        </row>
        <row r="9">
          <cell r="A9">
            <v>212</v>
          </cell>
          <cell r="B9" t="str">
            <v>VTV10 (HD)</v>
          </cell>
          <cell r="C9" t="str">
            <v>rtp://232.84.1.119:10266</v>
          </cell>
          <cell r="D9" t="str">
            <v>https://s2129132.cdn.mytvnet.vn/vimages/b3/3f/ff/fe/eb/b5/b3ffe-lvtv10hdappc1710png-content-mytv.png</v>
          </cell>
        </row>
        <row r="10">
          <cell r="A10">
            <v>115</v>
          </cell>
          <cell r="B10" t="str">
            <v>BTV6 - Shopping 24h</v>
          </cell>
          <cell r="C10" t="str">
            <v>rtp://232.84.2.197:10966</v>
          </cell>
          <cell r="D10" t="str">
            <v>https://s2129132.cdn.mytvnet.vn/vimages/cf/f0/0b/b7/75/51/cf0b7-pbtv6shopping24h-channel-unkn.png</v>
          </cell>
        </row>
        <row r="11">
          <cell r="A11">
            <v>459</v>
          </cell>
          <cell r="B11" t="str">
            <v>VTV7 HD</v>
          </cell>
          <cell r="C11" t="str">
            <v>rtp://232.84.2.202:10996</v>
          </cell>
          <cell r="D11" t="str">
            <v>https://s2129132.cdn.mytvnet.vn/vimages/e5/53/33/33/33/3c/e5333-pvtv7hd-channel-unkn.png</v>
          </cell>
        </row>
        <row r="12">
          <cell r="A12">
            <v>7</v>
          </cell>
          <cell r="B12" t="str">
            <v>HTV1 HD</v>
          </cell>
          <cell r="C12" t="str">
            <v>rtp://232.84.3.57:11710</v>
          </cell>
          <cell r="D12" t="str">
            <v>https://s2129132.cdn.mytvnet.vn/vimages/8c/ce/ee/e7/79/98/8cee7-phtv1hd-channel-unkn.png</v>
          </cell>
        </row>
        <row r="13">
          <cell r="A13">
            <v>766</v>
          </cell>
          <cell r="B13" t="str">
            <v>SCTV - Phim Tổng hợp</v>
          </cell>
          <cell r="C13" t="str">
            <v>rtp://232.84.3.14:11968</v>
          </cell>
          <cell r="D13" t="str">
            <v>https://s2129132.cdn.mytvnet.vn/vimages/09/91/13/30/0b/b8/09130-psctvphimtnghp-channel-unkn.png</v>
          </cell>
        </row>
        <row r="14">
          <cell r="A14">
            <v>769</v>
          </cell>
          <cell r="B14" t="str">
            <v>SCTV1</v>
          </cell>
          <cell r="C14" t="str">
            <v>rtp://232.84.3.34:11848</v>
          </cell>
          <cell r="D14" t="str">
            <v>https://s2129132.cdn.mytvnet.vn/vimages/52/20/05/5a/aa/ad/5205a-psctv1knhhi-channel-unkn.png</v>
          </cell>
        </row>
        <row r="15">
          <cell r="A15">
            <v>9</v>
          </cell>
          <cell r="B15" t="str">
            <v>HTV4</v>
          </cell>
          <cell r="C15" t="str">
            <v>rtp://232.84.3.55:11722</v>
          </cell>
          <cell r="D15" t="str">
            <v>https://s2129132.cdn.mytvnet.vn/vimages/63/3d/d7/7f/f9/93/63d7f-phtv4-channel-unkn.png</v>
          </cell>
        </row>
        <row r="16">
          <cell r="A16">
            <v>18</v>
          </cell>
          <cell r="B16" t="str">
            <v>HTV Thể thao</v>
          </cell>
          <cell r="C16" t="str">
            <v>rtp://232.84.3.88:11524</v>
          </cell>
          <cell r="D16" t="str">
            <v>https://s2129132.cdn.mytvnet.vn/vimages/69/92/28/83/3b/b0/69283-phtvththao-channel-unkn.png</v>
          </cell>
        </row>
        <row r="17">
          <cell r="A17">
            <v>772</v>
          </cell>
          <cell r="B17" t="str">
            <v>SCTV2</v>
          </cell>
          <cell r="C17" t="str">
            <v>rtp://232.84.3.33:11854</v>
          </cell>
          <cell r="D17" t="str">
            <v>https://s2129132.cdn.mytvnet.vn/vimages/28/84/49/9f/f6/68/2849f-psctv2amc-channel-unkn.png</v>
          </cell>
        </row>
        <row r="18">
          <cell r="A18">
            <v>775</v>
          </cell>
          <cell r="B18" t="str">
            <v>SCTV3</v>
          </cell>
          <cell r="C18" t="str">
            <v>rtp://232.84.3.32:11860</v>
          </cell>
          <cell r="D18" t="str">
            <v>https://s2129132.cdn.mytvnet.vn/vimages/28/86/68/8c/c8/8d/2868c-psctv3seetv-channel-unkn.png</v>
          </cell>
        </row>
        <row r="19">
          <cell r="A19">
            <v>778</v>
          </cell>
          <cell r="B19" t="str">
            <v>SCTV4</v>
          </cell>
          <cell r="C19" t="str">
            <v>rtp://232.84.3.31:11866</v>
          </cell>
          <cell r="D19" t="str">
            <v>https://s2129132.cdn.mytvnet.vn/vimages/d5/53/34/4b/b2/2a/d534b-psctv4tnghplestviet-channel-unkn.png</v>
          </cell>
        </row>
        <row r="20">
          <cell r="A20">
            <v>781</v>
          </cell>
          <cell r="B20" t="str">
            <v>SCTV6</v>
          </cell>
          <cell r="C20" t="str">
            <v>rtp://232.84.3.30:11872</v>
          </cell>
          <cell r="D20" t="str">
            <v>https://s2129132.cdn.mytvnet.vn/vimages/32/27/7b/b4/41/12/327b4-psctv6sngnhc-channel-unkn.png</v>
          </cell>
        </row>
        <row r="21">
          <cell r="A21">
            <v>784</v>
          </cell>
          <cell r="B21" t="str">
            <v>SCTV7</v>
          </cell>
          <cell r="C21" t="str">
            <v>rtp://232.84.3.29:11878</v>
          </cell>
          <cell r="D21" t="str">
            <v>https://s2129132.cdn.mytvnet.vn/vimages/0b/b7/70/0a/a8/85/0b70a-psctv7snkhuvnnghtnghp-channel-unkn.png</v>
          </cell>
        </row>
        <row r="22">
          <cell r="A22">
            <v>421</v>
          </cell>
          <cell r="B22" t="str">
            <v>Vĩnh Long 1 HD</v>
          </cell>
          <cell r="C22" t="str">
            <v>rtp://232.84.3.152:10882</v>
          </cell>
          <cell r="D22" t="str">
            <v>https://s2129132.cdn.mytvnet.vn/vimages/64/47/7e/e1/12/2d/647e1-pvnhlong1hd-channel-unkn.png</v>
          </cell>
        </row>
        <row r="23">
          <cell r="A23">
            <v>787</v>
          </cell>
          <cell r="B23" t="str">
            <v>SCTV8</v>
          </cell>
          <cell r="C23" t="str">
            <v>rtp://232.84.3.28:11884</v>
          </cell>
          <cell r="D23" t="str">
            <v>https://s2129132.cdn.mytvnet.vn/vimages/6a/a5/5b/bc/c3/3e/6a5bc-psctv8vitv-channel-unkn.png</v>
          </cell>
        </row>
        <row r="24">
          <cell r="A24">
            <v>790</v>
          </cell>
          <cell r="B24" t="str">
            <v>SCTV9</v>
          </cell>
          <cell r="C24" t="str">
            <v>rtp://232.84.3.27:11890</v>
          </cell>
          <cell r="D24" t="str">
            <v>https://s2129132.cdn.mytvnet.vn/vimages/b1/16/63/3d/d1/14/b163d-psctv9phimchu-channel-unkn.png</v>
          </cell>
        </row>
        <row r="25">
          <cell r="A25">
            <v>423</v>
          </cell>
          <cell r="B25" t="str">
            <v>Vĩnh Long 2 HD</v>
          </cell>
          <cell r="C25" t="str">
            <v>rtp://232.84.3.164:10888</v>
          </cell>
          <cell r="D25" t="str">
            <v>https://s2129132.cdn.mytvnet.vn/vimages/71/1b/bb/bd/d2/24/71bbd-pvnhlong2hd-channel-unkn.png</v>
          </cell>
        </row>
        <row r="26">
          <cell r="A26">
            <v>425</v>
          </cell>
          <cell r="B26" t="str">
            <v>Vĩnh Long 3 HD</v>
          </cell>
          <cell r="C26" t="str">
            <v>rtp://232.84.3.165:10900</v>
          </cell>
          <cell r="D26" t="str">
            <v>https://s2129132.cdn.mytvnet.vn/vimages/8d/d7/7b/b4/40/02/8d7b4-pvnhlong3hd-channel-unkn.png</v>
          </cell>
        </row>
        <row r="27">
          <cell r="A27">
            <v>793</v>
          </cell>
          <cell r="B27" t="str">
            <v>SCTV11</v>
          </cell>
          <cell r="C27" t="str">
            <v>rtp://232.84.3.26:11896</v>
          </cell>
          <cell r="D27" t="str">
            <v>https://s2129132.cdn.mytvnet.vn/vimages/34/4e/ec/c9/9f/f2/34ec9-psctv11tvstar-channel-unkn.png</v>
          </cell>
        </row>
        <row r="28">
          <cell r="A28">
            <v>796</v>
          </cell>
          <cell r="B28" t="str">
            <v>SCTV12</v>
          </cell>
          <cell r="C28" t="str">
            <v>rtp://232.84.3.25:11902</v>
          </cell>
          <cell r="D28" t="str">
            <v>https://s2129132.cdn.mytvnet.vn/vimages/93/38/8d/da/a2/2c/938da-psctv12dulch-channel-unkn.png</v>
          </cell>
        </row>
        <row r="29">
          <cell r="A29">
            <v>35</v>
          </cell>
          <cell r="B29" t="str">
            <v>ANTV</v>
          </cell>
          <cell r="C29" t="str">
            <v>rtp://232.84.1.212:9246</v>
          </cell>
          <cell r="D29" t="str">
            <v>https://s2129132.cdn.mytvnet.vn/vimages/ad/da/a5/5a/a6/69/ada5a-pantv-channel-unkn.png</v>
          </cell>
        </row>
        <row r="30">
          <cell r="A30">
            <v>200</v>
          </cell>
          <cell r="B30" t="str">
            <v>ON Sports (HD)</v>
          </cell>
          <cell r="C30" t="str">
            <v>rtp://232.84.1.207:9216</v>
          </cell>
          <cell r="D30" t="str">
            <v>https://s2129132.cdn.mytvnet.vn/vimages/e9/9e/e5/54/40/01/e9e54-ponsportshd-channel-unkn.png</v>
          </cell>
        </row>
        <row r="31">
          <cell r="A31">
            <v>208</v>
          </cell>
          <cell r="B31" t="str">
            <v>ON Football (HD)</v>
          </cell>
          <cell r="C31" t="str">
            <v>rtp://232.84.1.210:9234</v>
          </cell>
          <cell r="D31" t="str">
            <v>https://s2129132.cdn.mytvnet.vn/vimages/b7/78/8b/b7/7e/e5/b78b7-ponfootballhd-channel-unkn.png</v>
          </cell>
        </row>
        <row r="32">
          <cell r="A32">
            <v>799</v>
          </cell>
          <cell r="B32" t="str">
            <v>SCTV13</v>
          </cell>
          <cell r="C32" t="str">
            <v>rtp://232.84.3.24:11908</v>
          </cell>
          <cell r="D32" t="str">
            <v>https://s2129132.cdn.mytvnet.vn/vimages/e3/32/20/0b/bc/c3/e320b-psctv13ladytv-channel-unkn.png</v>
          </cell>
        </row>
        <row r="33">
          <cell r="A33">
            <v>632</v>
          </cell>
          <cell r="B33" t="str">
            <v>SPOTV (HD)</v>
          </cell>
          <cell r="C33" t="str">
            <v>rtp://232.84.3.111:10666</v>
          </cell>
          <cell r="D33" t="str">
            <v>https://s2129132.cdn.mytvnet.vn/vimages/60/0c/ce/e6/6b/b9/60ce6-pspotvhd-channel-unkn.png</v>
          </cell>
        </row>
        <row r="34">
          <cell r="A34">
            <v>633</v>
          </cell>
          <cell r="B34" t="str">
            <v>SPOTV2 (HD)</v>
          </cell>
          <cell r="C34" t="str">
            <v>rtp://232.84.3.129:10672</v>
          </cell>
          <cell r="D34" t="str">
            <v>https://s2129132.cdn.mytvnet.vn/vimages/53/3d/db/b8/85/59/53db8-pspotv2hd-channel-unkn.png</v>
          </cell>
        </row>
        <row r="35">
          <cell r="A35">
            <v>805</v>
          </cell>
          <cell r="B35" t="str">
            <v>SCTV16</v>
          </cell>
          <cell r="C35" t="str">
            <v>rtp://232.84.3.21:11926</v>
          </cell>
          <cell r="D35" t="str">
            <v>https://s2129132.cdn.mytvnet.vn/vimages/e2/2b/b9/90/05/54/e2b90-psctv16-channel-unkn.png</v>
          </cell>
        </row>
        <row r="36">
          <cell r="A36">
            <v>808</v>
          </cell>
          <cell r="B36" t="str">
            <v>SCTV18</v>
          </cell>
          <cell r="C36" t="str">
            <v>rtp://232.84.3.19:11938</v>
          </cell>
          <cell r="D36" t="str">
            <v>https://s2129132.cdn.mytvnet.vn/vimages/73/39/96/6a/a3/36/7396a-psctv18phim-channel-unkn.png</v>
          </cell>
        </row>
        <row r="37">
          <cell r="A37">
            <v>811</v>
          </cell>
          <cell r="B37" t="str">
            <v>SCTV19</v>
          </cell>
          <cell r="C37" t="str">
            <v>rtp://232.84.3.18:11944</v>
          </cell>
          <cell r="D37" t="str">
            <v>https://s2129132.cdn.mytvnet.vn/vimages/05/50/07/74/46/61/05074-psctv19channelt-channel-unkn.png</v>
          </cell>
        </row>
        <row r="38">
          <cell r="A38">
            <v>814</v>
          </cell>
          <cell r="B38" t="str">
            <v>SCTV20</v>
          </cell>
          <cell r="C38" t="str">
            <v>rtp://232.84.3.17:11950</v>
          </cell>
          <cell r="D38" t="str">
            <v>https://s2129132.cdn.mytvnet.vn/vimages/36/6e/e9/97/79/91/36e97-psctv20itv-channel-unkn.png</v>
          </cell>
        </row>
        <row r="39">
          <cell r="A39">
            <v>817</v>
          </cell>
          <cell r="B39" t="str">
            <v>SCTV21</v>
          </cell>
          <cell r="C39" t="str">
            <v>rtp://232.84.3.16:11956</v>
          </cell>
          <cell r="D39" t="str">
            <v>https://s2129132.cdn.mytvnet.vn/vimages/8d/de/ee/e3/3e/e7/8dee3-psctv21-channel-unkn.png</v>
          </cell>
        </row>
        <row r="40">
          <cell r="A40">
            <v>185</v>
          </cell>
          <cell r="B40" t="str">
            <v>NHK World Japan HD</v>
          </cell>
          <cell r="C40" t="str">
            <v>rtp://232.84.1.72:8406</v>
          </cell>
          <cell r="D40" t="str">
            <v>https://s2129132.cdn.mytvnet.vn/vimages/6a/a4/46/6f/f0/0f/6a46f-pnhkworldjapanhd-channel-unkn.png</v>
          </cell>
        </row>
        <row r="41">
          <cell r="A41">
            <v>866</v>
          </cell>
          <cell r="B41" t="str">
            <v>Hollywood Classic</v>
          </cell>
          <cell r="C41" t="str">
            <v>rtp://232.84.1.58:8328</v>
          </cell>
          <cell r="D41" t="str">
            <v>https://s2129132.cdn.mytvnet.vn/vimages/de/ee/ea/a0/07/7f/deea0-phollywoodclasic-channel-unkn.png</v>
          </cell>
        </row>
        <row r="42">
          <cell r="A42">
            <v>105</v>
          </cell>
          <cell r="B42" t="str">
            <v>Box Hits (HD)</v>
          </cell>
          <cell r="C42" t="str">
            <v>rtp://232.84.1.77:8436</v>
          </cell>
          <cell r="D42" t="str">
            <v>https://s2129132.cdn.mytvnet.vn/vimages/e6/6b/b5/56/68/84/e6b56-pboxhitshd-channel-unkn.png</v>
          </cell>
        </row>
        <row r="43">
          <cell r="A43">
            <v>869</v>
          </cell>
          <cell r="B43" t="str">
            <v>Woman</v>
          </cell>
          <cell r="C43" t="str">
            <v>rtp://232.84.1.59:8334</v>
          </cell>
          <cell r="D43" t="str">
            <v>https://s2129132.cdn.mytvnet.vn/vimages/34/40/05/5b/b7/72/3405b-pwomen-channel-unkn.png</v>
          </cell>
        </row>
        <row r="44">
          <cell r="A44">
            <v>823</v>
          </cell>
          <cell r="B44" t="str">
            <v>SCTV15 - SSportT2</v>
          </cell>
          <cell r="C44" t="str">
            <v>rtp://232.84.3.22:11920</v>
          </cell>
          <cell r="D44" t="str">
            <v>https://s2129132.cdn.mytvnet.vn/vimages/c5/52/26/64/4d/d2/c5264-psctv15ssportt2-channel-unkn.png</v>
          </cell>
        </row>
        <row r="45">
          <cell r="A45">
            <v>826</v>
          </cell>
          <cell r="B45" t="str">
            <v>SCTV17 - Ssport</v>
          </cell>
          <cell r="C45" t="str">
            <v>rtp://232.84.3.20:11932</v>
          </cell>
          <cell r="D45" t="str">
            <v>https://s2129132.cdn.mytvnet.vn/vimages/db/bd/dd/dd/dc/cc/dbddd-psctv17ssport-channel-unkn.png</v>
          </cell>
        </row>
        <row r="46">
          <cell r="A46">
            <v>829</v>
          </cell>
          <cell r="B46" t="str">
            <v>SCTV 22 - SSportT1</v>
          </cell>
          <cell r="C46" t="str">
            <v>rtp://232.84.3.15:11962</v>
          </cell>
          <cell r="D46" t="str">
            <v>https://s2129132.cdn.mytvnet.vn/vimages/ee/eb/bb/bb/bf/f5/eebbb-psctv22ssportt1-channel-unkn.png</v>
          </cell>
        </row>
        <row r="47">
          <cell r="A47">
            <v>429</v>
          </cell>
          <cell r="B47" t="str">
            <v>Vĩnh Long 4 HD</v>
          </cell>
          <cell r="C47" t="str">
            <v>rtp://232.84.3.160:10912</v>
          </cell>
          <cell r="D47" t="str">
            <v>https://s2129132.cdn.mytvnet.vn/vimages/f6/6b/b2/29/99/9c/f6b29-pvnhlong4hd-channel-unkn.png</v>
          </cell>
        </row>
        <row r="48">
          <cell r="A48">
            <v>69</v>
          </cell>
          <cell r="B48" t="str">
            <v>Music Box (HD)</v>
          </cell>
          <cell r="C48" t="str">
            <v>rtp://232.84.1.13:8052</v>
          </cell>
          <cell r="D48" t="str">
            <v>https://s2129132.cdn.mytvnet.vn/vimages/ab/bd/d3/3e/e6/64/abd3e-pmusicboxhd-channel-unkn.png</v>
          </cell>
        </row>
        <row r="49">
          <cell r="A49">
            <v>14</v>
          </cell>
          <cell r="B49" t="str">
            <v>HTVC Gia Đình (HD)</v>
          </cell>
          <cell r="C49" t="str">
            <v>rtp://232.84.3.52:11740</v>
          </cell>
          <cell r="D49" t="str">
            <v>https://s2129132.cdn.mytvnet.vn/vimages/ba/a1/1c/c4/4a/a9/ba1c4-phtvcgianhhd-channel-unkn.png</v>
          </cell>
        </row>
        <row r="50">
          <cell r="A50">
            <v>83</v>
          </cell>
          <cell r="B50" t="str">
            <v>TV5 MONDE</v>
          </cell>
          <cell r="C50" t="str">
            <v>rtp://232.84.1.45:8250</v>
          </cell>
          <cell r="D50" t="str">
            <v>https://s2129132.cdn.mytvnet.vn/vimages/79/92/2a/a7/76/64/792a7-ptv5monde-channel-unkn.png</v>
          </cell>
        </row>
        <row r="51">
          <cell r="A51">
            <v>380</v>
          </cell>
          <cell r="B51" t="str">
            <v>VTV8 HD</v>
          </cell>
          <cell r="C51" t="str">
            <v>rtp://232.84.3.104:10612</v>
          </cell>
          <cell r="D51" t="str">
            <v>https://s2129132.cdn.mytvnet.vn/vimages/0f/f4/4d/d7/75/51/0f4d7-pvtv8hd-channel-unkn.png</v>
          </cell>
        </row>
        <row r="52">
          <cell r="A52">
            <v>300</v>
          </cell>
          <cell r="B52" t="str">
            <v>HTV Thuần Việt HD</v>
          </cell>
          <cell r="C52" t="str">
            <v>rtp://232.84.2.134:9600</v>
          </cell>
          <cell r="D52" t="str">
            <v>https://s2129132.cdn.mytvnet.vn/vimages/8b/b4/4f/fa/aa/a0/8b4fa-phtvthunvithd-channel-unkn.png</v>
          </cell>
        </row>
        <row r="53">
          <cell r="A53">
            <v>302</v>
          </cell>
          <cell r="B53" t="str">
            <v>HTVC Phim HD</v>
          </cell>
          <cell r="C53" t="str">
            <v>rtp://232.84.3.118:9594</v>
          </cell>
          <cell r="D53" t="str">
            <v>https://s2129132.cdn.mytvnet.vn/vimages/0f/f5/59/92/2f/f6/0f592-phtvcphimhd-channel-unkn.png</v>
          </cell>
        </row>
        <row r="54">
          <cell r="A54">
            <v>110</v>
          </cell>
          <cell r="B54" t="str">
            <v>HTV3 HD</v>
          </cell>
          <cell r="C54" t="str">
            <v>rtp://232.84.3.56:11716</v>
          </cell>
          <cell r="D54" t="str">
            <v>https://s2129132.cdn.mytvnet.vn/vimages/b4/4c/c3/36/68/86/b4c36-phtv3hd-channel-unkn.png</v>
          </cell>
        </row>
        <row r="55">
          <cell r="A55">
            <v>27</v>
          </cell>
          <cell r="B55" t="str">
            <v>ON O2TV HD</v>
          </cell>
          <cell r="C55" t="str">
            <v>rtp://232.84.3.74:11608</v>
          </cell>
          <cell r="D55" t="str">
            <v>https://s2129132.cdn.mytvnet.vn/vimages/85/52/20/05/5f/fc/85205-pono2tvhd-channel-unkn.png</v>
          </cell>
        </row>
        <row r="56">
          <cell r="A56">
            <v>127</v>
          </cell>
          <cell r="B56" t="str">
            <v>HTV2 HD</v>
          </cell>
          <cell r="C56" t="str">
            <v>rtp://232.84.2.182:9306</v>
          </cell>
          <cell r="D56" t="str">
            <v>https://s2129132.cdn.mytvnet.vn/vimages/a0/07/73/39/9e/e6/a0739-phtv2hd-channel-unkn.png</v>
          </cell>
        </row>
        <row r="57">
          <cell r="A57">
            <v>128</v>
          </cell>
          <cell r="B57" t="str">
            <v>HTV7 HD</v>
          </cell>
          <cell r="C57" t="str">
            <v>rtp://232.84.1.223:9312</v>
          </cell>
          <cell r="D57" t="str">
            <v>https://s2129132.cdn.mytvnet.vn/vimages/65/5a/a5/51/11/13/65a51-phtv7hd-channel-unkn.png</v>
          </cell>
        </row>
        <row r="58">
          <cell r="A58">
            <v>190</v>
          </cell>
          <cell r="B58" t="str">
            <v>HTV9 HD</v>
          </cell>
          <cell r="C58" t="str">
            <v>rtp://232.84.1.224:9318</v>
          </cell>
          <cell r="D58" t="str">
            <v>https://s2129132.cdn.mytvnet.vn/vimages/64/4e/ee/ef/fa/a7/64eef-phtv9hd-channel-unkn.png</v>
          </cell>
        </row>
        <row r="59">
          <cell r="A59">
            <v>197</v>
          </cell>
          <cell r="B59" t="str">
            <v>ON Vie Giải trí</v>
          </cell>
          <cell r="C59" t="str">
            <v>rtp://232.84.3.78:11584</v>
          </cell>
          <cell r="D59" t="str">
            <v>https://s2129132.cdn.mytvnet.vn/vimages/0c/c1/12/24/4c/cd/0c124-ponviegiitr-channel-unkn.png</v>
          </cell>
        </row>
        <row r="60">
          <cell r="A60">
            <v>198</v>
          </cell>
          <cell r="B60" t="str">
            <v>ON Phim Việt HD</v>
          </cell>
          <cell r="C60" t="str">
            <v>rtp://232.84.3.77:11590</v>
          </cell>
          <cell r="D60" t="str">
            <v>https://s2129132.cdn.mytvnet.vn/vimages/3d/d2/24/49/9e/ed/3d249-ponphimvithd-channel-unkn.png</v>
          </cell>
        </row>
        <row r="61">
          <cell r="A61">
            <v>201</v>
          </cell>
          <cell r="B61" t="str">
            <v>ON Vie Dramas</v>
          </cell>
          <cell r="C61" t="str">
            <v>rtp://232.84.3.218:11230</v>
          </cell>
          <cell r="D61" t="str">
            <v>https://s2129132.cdn.mytvnet.vn/vimages/00/09/98/87/7c/c3/00987-ponviedramas-channel-unkn.png</v>
          </cell>
        </row>
        <row r="62">
          <cell r="A62">
            <v>202</v>
          </cell>
          <cell r="B62" t="str">
            <v>ON E Channel</v>
          </cell>
          <cell r="C62" t="str">
            <v>rtp://232.84.3.76:11596</v>
          </cell>
          <cell r="D62" t="str">
            <v>https://s2129132.cdn.mytvnet.vn/vimages/7a/a9/95/5d/d5/5a/7a95d-ponechannel-channel-unkn.png</v>
          </cell>
        </row>
        <row r="63">
          <cell r="A63">
            <v>203</v>
          </cell>
          <cell r="B63" t="str">
            <v>On Sports+ HD</v>
          </cell>
          <cell r="C63" t="str">
            <v>rtp://232.84.3.75:11602</v>
          </cell>
          <cell r="D63" t="str">
            <v>https://s2129132.cdn.mytvnet.vn/vimages/f6/68/85/5b/b0/02/f685b-ponsportshd-channel-unkn.png</v>
          </cell>
        </row>
        <row r="64">
          <cell r="A64">
            <v>381</v>
          </cell>
          <cell r="B64" t="str">
            <v>VTV9 HD</v>
          </cell>
          <cell r="C64" t="str">
            <v>rtp://232.84.2.35:10618</v>
          </cell>
          <cell r="D64" t="str">
            <v>https://s2129132.cdn.mytvnet.vn/vimages/d3/35/5e/e2/26/62/d35e2-pvtv9hd-channel-unkn.png</v>
          </cell>
        </row>
        <row r="65">
          <cell r="A65">
            <v>205</v>
          </cell>
          <cell r="B65" t="str">
            <v>ON Bibi HD</v>
          </cell>
          <cell r="C65" t="str">
            <v>rtp://232.84.3.217:11224</v>
          </cell>
          <cell r="D65" t="str">
            <v>https://s2129132.cdn.mytvnet.vn/vimages/b4/43/30/0a/ac/cb/b430a-ponbibihd-channel-unkn.png</v>
          </cell>
        </row>
        <row r="66">
          <cell r="A66">
            <v>206</v>
          </cell>
          <cell r="B66" t="str">
            <v>ON Style TV HD</v>
          </cell>
          <cell r="C66" t="str">
            <v>rtp://232.84.3.71:11626</v>
          </cell>
          <cell r="D66" t="str">
            <v>https://s2129132.cdn.mytvnet.vn/vimages/6d/df/f4/4e/ee/e9/6df4e-ponstyletvhd-channel-unkn.png</v>
          </cell>
        </row>
        <row r="67">
          <cell r="A67">
            <v>209</v>
          </cell>
          <cell r="B67" t="str">
            <v>ON Trending HD</v>
          </cell>
          <cell r="C67" t="str">
            <v>rtp://232.84.3.69:11638</v>
          </cell>
          <cell r="D67" t="str">
            <v>https://s2129132.cdn.mytvnet.vn/vimages/05/5e/eb/b9/95/55/05eb9-pontrendinghd-channel-unkn.png</v>
          </cell>
        </row>
        <row r="68">
          <cell r="A68">
            <v>204</v>
          </cell>
          <cell r="B68" t="str">
            <v>ON Cine HD</v>
          </cell>
          <cell r="C68" t="str">
            <v>rtp://232.84.3.72:11620</v>
          </cell>
          <cell r="D68" t="str">
            <v>https://s2129132.cdn.mytvnet.vn/vimages/d5/5f/f5/53/33/33/d5f53-poncinehd-channel-unkn.png</v>
          </cell>
        </row>
        <row r="69">
          <cell r="A69">
            <v>615</v>
          </cell>
          <cell r="B69" t="str">
            <v>VTV5 Tây Nam Bộ (HD)</v>
          </cell>
          <cell r="C69" t="str">
            <v>rtp://232.84.3.86:11542</v>
          </cell>
          <cell r="D69" t="str">
            <v>https://s2129132.cdn.mytvnet.vn/vimages/48/82/2d/d6/6d/d8/482d6-pvtv5tynambhd-channel-unkn.png</v>
          </cell>
        </row>
        <row r="70">
          <cell r="A70">
            <v>12</v>
          </cell>
          <cell r="B70" t="str">
            <v>HTVC Ca Nhạc (HD)</v>
          </cell>
          <cell r="C70" t="str">
            <v>rtp://232.84.3.54:11728</v>
          </cell>
          <cell r="D70" t="str">
            <v>https://s2129132.cdn.mytvnet.vn/vimages/b8/8b/bd/da/ae/eb/b8bda-phtvccanhchd-channel-unkn.png</v>
          </cell>
        </row>
        <row r="71">
          <cell r="A71">
            <v>191</v>
          </cell>
          <cell r="B71" t="str">
            <v>Outdoor HD</v>
          </cell>
          <cell r="C71" t="str">
            <v>rtp://232.84.1.107:10218</v>
          </cell>
          <cell r="D71" t="str">
            <v>https://s2129132.cdn.mytvnet.vn/vimages/58/84/45/5f/f8/8c/5845f-poutdoorhd-channel-unkn.png</v>
          </cell>
        </row>
        <row r="72">
          <cell r="A72">
            <v>642</v>
          </cell>
          <cell r="B72" t="str">
            <v>VTV5 Tây Nguyên (HD)</v>
          </cell>
          <cell r="C72" t="str">
            <v>rtp://232.84.3.66:11656</v>
          </cell>
          <cell r="D72" t="str">
            <v>https://s2129132.cdn.mytvnet.vn/vimages/d4/46/61/1c/cf/f6/d461c-pvtv5tynguynhd-channel-unkn.png</v>
          </cell>
        </row>
        <row r="73">
          <cell r="A73">
            <v>141</v>
          </cell>
          <cell r="B73" t="str">
            <v>Cao Bằng TV</v>
          </cell>
          <cell r="C73" t="str">
            <v>rtp://232.84.3.202:11134</v>
          </cell>
          <cell r="D73" t="str">
            <v>https://s2129132.cdn.mytvnet.vn/vimages/a0/0d/d4/4e/e8/8d/a0d4e-pcaobngtv-channel-unkn.png</v>
          </cell>
        </row>
        <row r="74">
          <cell r="A74">
            <v>193</v>
          </cell>
          <cell r="B74" t="str">
            <v>Lạng Sơn TV HD</v>
          </cell>
          <cell r="C74" t="str">
            <v>rtp://232.84.3.203:11140</v>
          </cell>
          <cell r="D74" t="str">
            <v>https://s2129132.cdn.mytvnet.vn/vimages/0a/ab/b3/38/88/8d/0ab38-plngsntvhd-channel-unkn.png</v>
          </cell>
        </row>
        <row r="75">
          <cell r="A75">
            <v>227</v>
          </cell>
          <cell r="B75" t="str">
            <v>QPVN (HD)</v>
          </cell>
          <cell r="C75" t="str">
            <v>rtp://232.84.3.127:10816</v>
          </cell>
          <cell r="D75" t="str">
            <v>https://s2129132.cdn.mytvnet.vn/vimages/ef/f6/64/46/6b/be/ef646-pqpvnhd-channel-unkn.png</v>
          </cell>
        </row>
        <row r="76">
          <cell r="A76">
            <v>241</v>
          </cell>
          <cell r="B76" t="str">
            <v>ON Vfamily HD</v>
          </cell>
          <cell r="C76" t="str">
            <v>rtp://232.84.3.68:11644</v>
          </cell>
          <cell r="D76" t="str">
            <v>https://s2129132.cdn.mytvnet.vn/vimages/27/7a/a7/71/1f/f0/27a71-ponvfamilyhd-channel-unkn.png</v>
          </cell>
        </row>
        <row r="77">
          <cell r="A77">
            <v>313</v>
          </cell>
          <cell r="B77" t="str">
            <v>DW-HD</v>
          </cell>
          <cell r="C77" t="str">
            <v>rtp://232.84.3.154:10416</v>
          </cell>
          <cell r="D77" t="str">
            <v>https://s2129132.cdn.mytvnet.vn/vimages/38/85/5a/aa/a1/1b/385aa-pdwhd-channel-unkn.png</v>
          </cell>
        </row>
        <row r="78">
          <cell r="A78">
            <v>308</v>
          </cell>
          <cell r="B78" t="str">
            <v>France24</v>
          </cell>
          <cell r="C78" t="str">
            <v>rtp://232.84.3.145:9606</v>
          </cell>
          <cell r="D78" t="str">
            <v>https://s2129132.cdn.mytvnet.vn/vimages/b2/26/6b/bc/c6/6d/b26bc-pfrance24-channel-unkn.png</v>
          </cell>
        </row>
        <row r="79">
          <cell r="A79">
            <v>306</v>
          </cell>
          <cell r="B79" t="str">
            <v>KBS World</v>
          </cell>
          <cell r="C79" t="str">
            <v>rtp://232.84.2.136:9612</v>
          </cell>
          <cell r="D79" t="str">
            <v>https://s2129132.cdn.mytvnet.vn/vimages/82/2f/fb/b6/6d/d7/82fb6-pkbsworld-channel-unkn.png</v>
          </cell>
        </row>
        <row r="80">
          <cell r="A80">
            <v>523</v>
          </cell>
          <cell r="B80" t="str">
            <v>CINEMAWORLD HD</v>
          </cell>
          <cell r="C80" t="str">
            <v>rtp://232.84.3.50:11752</v>
          </cell>
          <cell r="D80" t="str">
            <v>https://s2129132.cdn.mytvnet.vn/vimages/cd/de/e3/3a/a3/33/cde3a-pcinemaworldhd-channel-unkn.png</v>
          </cell>
        </row>
        <row r="81">
          <cell r="A81">
            <v>13</v>
          </cell>
          <cell r="B81" t="str">
            <v>HTVC Du Lịch Cuộc Sống (HD)</v>
          </cell>
          <cell r="C81" t="str">
            <v>rtp://232.84.3.53:11734</v>
          </cell>
          <cell r="D81" t="str">
            <v>https://s2129132.cdn.mytvnet.vn/vimages/8d/d4/4a/a5/5f/fb/8d4a5-phtvcdulchcucsnghd-channel-unkn.png</v>
          </cell>
        </row>
        <row r="82">
          <cell r="A82">
            <v>366</v>
          </cell>
          <cell r="B82" t="str">
            <v>Channel News Asia HD</v>
          </cell>
          <cell r="C82" t="str">
            <v>rtp://232.84.3.155:10540</v>
          </cell>
          <cell r="D82" t="str">
            <v>https://s2129132.cdn.mytvnet.vn/vimages/69/91/15/50/06/60/69150-pchannelnewsasiahd-channel-unkn.png</v>
          </cell>
        </row>
        <row r="83">
          <cell r="A83">
            <v>294</v>
          </cell>
          <cell r="B83" t="str">
            <v>DaVinci HD</v>
          </cell>
          <cell r="C83" t="str">
            <v>rtp://232.84.2.131:9582</v>
          </cell>
          <cell r="D83" t="str">
            <v>https://s2129132.cdn.mytvnet.vn/vimages/b0/0b/b6/6e/e8/86/b0b6e-pdavincihd-channel-unkn.png</v>
          </cell>
        </row>
        <row r="84">
          <cell r="A84">
            <v>616</v>
          </cell>
          <cell r="B84" t="str">
            <v>THP3</v>
          </cell>
          <cell r="C84" t="str">
            <v>rtp://232.84.3.83:11554</v>
          </cell>
          <cell r="D84" t="str">
            <v>https://s2129132.cdn.mytvnet.vn/vimages/c1/1b/b5/5b/b1/17/c1b5b-pthp3-channel-unkn.png</v>
          </cell>
        </row>
        <row r="85">
          <cell r="A85">
            <v>298</v>
          </cell>
          <cell r="B85" t="str">
            <v>Asian Food Network (HD)</v>
          </cell>
          <cell r="C85" t="str">
            <v>rtp://232.84.2.129:9570</v>
          </cell>
          <cell r="D85" t="str">
            <v>https://s2129132.cdn.mytvnet.vn/vimages/33/33/32/20/08/8d/33320-pasianfoodnetworkhd-channel-unkn.png</v>
          </cell>
        </row>
        <row r="86">
          <cell r="A86">
            <v>321</v>
          </cell>
          <cell r="B86" t="str">
            <v>ABC Australia</v>
          </cell>
          <cell r="C86" t="str">
            <v>rtp://232.84.3.131:10482</v>
          </cell>
          <cell r="D86" t="str">
            <v>https://s2129132.cdn.mytvnet.vn/vimages/49/9c/c9/95/52/26/49c95-pabcaustralia-channel-unkn.png</v>
          </cell>
        </row>
        <row r="87">
          <cell r="A87">
            <v>407</v>
          </cell>
          <cell r="B87" t="str">
            <v>Hải Phòng TV HD</v>
          </cell>
          <cell r="C87" t="str">
            <v>rtp://232.84.3.142:10780</v>
          </cell>
          <cell r="D87" t="str">
            <v>https://s2129132.cdn.mytvnet.vn/vimages/a9/9c/c3/35/56/6c/a9c35-phiphngtvhd-channel-unkn.png</v>
          </cell>
        </row>
        <row r="88">
          <cell r="A88">
            <v>358</v>
          </cell>
          <cell r="B88" t="str">
            <v>CNBC</v>
          </cell>
          <cell r="C88" t="str">
            <v>rtp://232.84.3.179:10488</v>
          </cell>
          <cell r="D88" t="str">
            <v>https://s2129132.cdn.mytvnet.vn/vimages/01/13/3a/a4/4a/a4/013a4-pcnbc-channel-unkn.png</v>
          </cell>
        </row>
        <row r="89">
          <cell r="A89">
            <v>384</v>
          </cell>
          <cell r="B89" t="str">
            <v>HTVC Plus HD</v>
          </cell>
          <cell r="C89" t="str">
            <v>rtp://232.84.3.245:11392</v>
          </cell>
          <cell r="D89" t="str">
            <v>https://s2129132.cdn.mytvnet.vn/vimages/f0/0a/a3/31/1f/f3/f0a31-phtvcplushd-channel-unkn.png</v>
          </cell>
        </row>
        <row r="90">
          <cell r="A90">
            <v>63</v>
          </cell>
          <cell r="B90" t="str">
            <v>Arirang</v>
          </cell>
          <cell r="C90" t="str">
            <v>rtp://232.84.1.43:8238</v>
          </cell>
          <cell r="D90" t="str">
            <v>https://s2129132.cdn.mytvnet.vn/vimages/48/8c/cf/f9/9e/e6/48cf9-parirang-channel-unkn.png</v>
          </cell>
        </row>
        <row r="91">
          <cell r="A91">
            <v>394</v>
          </cell>
          <cell r="B91" t="str">
            <v>Animal Plannet HD</v>
          </cell>
          <cell r="C91" t="str">
            <v>rtp://232.84.3.139:10702</v>
          </cell>
          <cell r="D91" t="str">
            <v>https://s2129132.cdn.mytvnet.vn/vimages/86/64/4a/a2/2d/dd/864a2-panimalplannethd-channel-unkn.png</v>
          </cell>
        </row>
        <row r="92">
          <cell r="A92">
            <v>400</v>
          </cell>
          <cell r="B92" t="str">
            <v>Hà Nội 1  HD</v>
          </cell>
          <cell r="C92" t="str">
            <v>rtp://232.84.3.143:10738</v>
          </cell>
          <cell r="D92" t="str">
            <v>https://s2129132.cdn.mytvnet.vn/vimages/4a/ab/b7/75/55/55/4ab75-phni1hd-channel-unkn.png</v>
          </cell>
        </row>
        <row r="93">
          <cell r="A93">
            <v>401</v>
          </cell>
          <cell r="B93" t="str">
            <v>Hà Nội 2 HD</v>
          </cell>
          <cell r="C93" t="str">
            <v>rtp://232.84.3.137:10744</v>
          </cell>
          <cell r="D93" t="str">
            <v>https://s2129132.cdn.mytvnet.vn/vimages/f0/0f/f2/28/88/83/f0f28-phni2hd-channel-unkn.png</v>
          </cell>
        </row>
        <row r="94">
          <cell r="A94">
            <v>435</v>
          </cell>
          <cell r="B94" t="str">
            <v>ON MOVIES (HD)</v>
          </cell>
          <cell r="C94" t="str">
            <v>rtp://232.84.2.190:10924</v>
          </cell>
          <cell r="D94" t="str">
            <v>https://s2129132.cdn.mytvnet.vn/vimages/e5/5e/ed/df/f8/8e/e5edf-ponmovieshd-channel-unkn.png</v>
          </cell>
        </row>
        <row r="95">
          <cell r="A95">
            <v>437</v>
          </cell>
          <cell r="B95" t="str">
            <v>ON InfoTV HD</v>
          </cell>
          <cell r="C95" t="str">
            <v>rtp://232.84.3.73:11614</v>
          </cell>
          <cell r="D95" t="str">
            <v>https://s2129132.cdn.mytvnet.vn/vimages/2a/a6/69/95/5a/a2/2a695-poninfotvhd-channel-unkn.png</v>
          </cell>
        </row>
        <row r="96">
          <cell r="A96">
            <v>439</v>
          </cell>
          <cell r="B96" t="str">
            <v>ON MUSIC HD</v>
          </cell>
          <cell r="C96" t="str">
            <v>rtp://232.84.3.70:11632</v>
          </cell>
          <cell r="D96" t="str">
            <v>https://s2129132.cdn.mytvnet.vn/vimages/2d/df/fc/c3/35/5d/2dfc3-ponmusichd-channel-unkn.png</v>
          </cell>
        </row>
        <row r="97">
          <cell r="A97">
            <v>441</v>
          </cell>
          <cell r="B97" t="str">
            <v>ON Sports News</v>
          </cell>
          <cell r="C97" t="str">
            <v>rtp://232.84.2.193:10942</v>
          </cell>
          <cell r="D97" t="str">
            <v>https://s2129132.cdn.mytvnet.vn/vimages/6b/b3/32/2f/f7/72/6b32f-ponsportsnews-channel-unkn.png</v>
          </cell>
        </row>
        <row r="98">
          <cell r="A98">
            <v>415</v>
          </cell>
          <cell r="B98" t="str">
            <v>ON Golf</v>
          </cell>
          <cell r="C98" t="str">
            <v>rtp://232.84.2.246:10876</v>
          </cell>
          <cell r="D98" t="str">
            <v>https://s2129132.cdn.mytvnet.vn/vimages/5a/a1/16/6f/f7/78/5a16f-pongolf-channel-unkn.png</v>
          </cell>
        </row>
        <row r="99">
          <cell r="A99">
            <v>52</v>
          </cell>
          <cell r="B99" t="str">
            <v>Cần Thơ TV3</v>
          </cell>
          <cell r="C99" t="str">
            <v>rtp://232.84.3.97:11470</v>
          </cell>
          <cell r="D99" t="str">
            <v>https://s2129132.cdn.mytvnet.vn/vimages/1f/f2/2a/af/f0/02/1f2af-pcnthtv3-channel-unkn.png</v>
          </cell>
        </row>
        <row r="100">
          <cell r="A100">
            <v>406</v>
          </cell>
          <cell r="B100" t="str">
            <v>Thái Nguyên</v>
          </cell>
          <cell r="C100" t="str">
            <v>rtp://232.84.3.146:10774</v>
          </cell>
          <cell r="D100" t="str">
            <v>https://s2129132.cdn.mytvnet.vn/vimages/d5/54/40/00/00/03/d5400-pthinguyn-channel-unkn.png</v>
          </cell>
        </row>
        <row r="101">
          <cell r="A101">
            <v>16</v>
          </cell>
          <cell r="B101" t="str">
            <v>HTV Phụ Nữ (HD)</v>
          </cell>
          <cell r="C101" t="str">
            <v>rtp://232.84.3.51:11746</v>
          </cell>
          <cell r="D101" t="str">
            <v>https://s2129132.cdn.mytvnet.vn/vimages/de/ea/ad/d8/86/64/dead8-phtvphnhd-channel-unkn.png</v>
          </cell>
        </row>
        <row r="102">
          <cell r="A102">
            <v>154</v>
          </cell>
          <cell r="B102" t="str">
            <v>Tuyên Quang TV</v>
          </cell>
          <cell r="C102" t="str">
            <v>rtp://232.84.3.30:11872</v>
          </cell>
          <cell r="D102" t="str">
            <v>https://s2129132.cdn.mytvnet.vn/vimages/b6/61/1c/cf/fe/e0/b61cf-ptuynquangtv-channel-unkn.png</v>
          </cell>
        </row>
        <row r="103">
          <cell r="A103">
            <v>589</v>
          </cell>
          <cell r="B103" t="str">
            <v>Animal Plannet HD</v>
          </cell>
          <cell r="D103" t="str">
            <v>https://s2129132.cdn.mytvnet.vn/vimages/c7/7d/df/fb/bc/c3/c7dfb-panimalplannethd-channel-unkn.png</v>
          </cell>
        </row>
        <row r="104">
          <cell r="A104">
            <v>590</v>
          </cell>
          <cell r="B104" t="str">
            <v>AXN HD</v>
          </cell>
          <cell r="D104" t="str">
            <v>https://s2129132.cdn.mytvnet.vn/vimages/68/8a/a7/70/06/6f/68a70-paxnhd-channel-unkn.png</v>
          </cell>
        </row>
        <row r="105">
          <cell r="A105">
            <v>592</v>
          </cell>
          <cell r="B105" t="str">
            <v>CartoonNetwork HD</v>
          </cell>
          <cell r="D105" t="str">
            <v>https://s2129132.cdn.mytvnet.vn/vimages/6f/ff/f4/47/73/3b/6ff47-pcartoonnetworkhd-channel-unkn.png</v>
          </cell>
        </row>
        <row r="106">
          <cell r="A106">
            <v>593</v>
          </cell>
          <cell r="B106" t="str">
            <v>CNN HD</v>
          </cell>
          <cell r="C106" t="str">
            <v>vstv466</v>
          </cell>
          <cell r="D106" t="str">
            <v>https://s2129132.cdn.mytvnet.vn/vimages/93/3c/c3/3a/ab/be/93c3a-pcnnhd-channel-unkn.png</v>
          </cell>
        </row>
        <row r="107">
          <cell r="A107">
            <v>594</v>
          </cell>
          <cell r="B107" t="str">
            <v>Discovery(HD)</v>
          </cell>
          <cell r="D107" t="str">
            <v>https://s2129132.cdn.mytvnet.vn/vimages/3c/cb/b3/37/74/49/3cb37-pdiscoveryhd-channel-unkn.png</v>
          </cell>
        </row>
        <row r="108">
          <cell r="A108">
            <v>742</v>
          </cell>
          <cell r="B108" t="str">
            <v>ON Kids (HD)</v>
          </cell>
          <cell r="C108" t="str">
            <v>rtp://232.84.3.41:11806</v>
          </cell>
          <cell r="D108" t="str">
            <v>https://s2129132.cdn.mytvnet.vn/vimages/57/7e/e3/3d/d3/3b/57e3d-ponkidshd-channel-unkn.png</v>
          </cell>
        </row>
        <row r="109">
          <cell r="A109">
            <v>745</v>
          </cell>
          <cell r="B109" t="str">
            <v>ON Life (HD)</v>
          </cell>
          <cell r="C109" t="str">
            <v>rtp://232.84.3.40:11812</v>
          </cell>
          <cell r="D109" t="str">
            <v>https://s2129132.cdn.mytvnet.vn/vimages/63/38/88/8e/e2/23/6388e-ponlifehd-channel-unkn.png</v>
          </cell>
        </row>
        <row r="110">
          <cell r="A110">
            <v>595</v>
          </cell>
          <cell r="B110" t="str">
            <v>FTV(HD)</v>
          </cell>
          <cell r="C110" t="str">
            <v>vstv445</v>
          </cell>
          <cell r="D110" t="str">
            <v>https://s2129132.cdn.mytvnet.vn/vimages/02/29/9b/bd/da/aa/029bd-pftvhd-channel-unkn.png</v>
          </cell>
        </row>
        <row r="111">
          <cell r="A111">
            <v>598</v>
          </cell>
          <cell r="B111" t="str">
            <v>ABC Australia</v>
          </cell>
          <cell r="C111" t="str">
            <v>ABC Autrailia (OTT)</v>
          </cell>
          <cell r="D111" t="str">
            <v>https://s2129132.cdn.mytvnet.vn/vimages/08/81/10/02/23/3b/08102-pabcaustralia-channel-unkn.png</v>
          </cell>
        </row>
        <row r="112">
          <cell r="A112">
            <v>596</v>
          </cell>
          <cell r="B112" t="str">
            <v>TLC HD</v>
          </cell>
          <cell r="D112" t="str">
            <v>https://s2129132.cdn.mytvnet.vn/vimages/ce/e5/50/09/97/74/ce509-ptlchd-channel-unkn.png</v>
          </cell>
        </row>
        <row r="113">
          <cell r="A113">
            <v>597</v>
          </cell>
          <cell r="B113" t="str">
            <v>Warner HD</v>
          </cell>
          <cell r="D113" t="str">
            <v>https://s2129132.cdn.mytvnet.vn/vimages/3e/e1/1d/df/f7/7c/3e1df-pwarnerhd-channel-unkn.png</v>
          </cell>
        </row>
        <row r="114">
          <cell r="A114">
            <v>116</v>
          </cell>
          <cell r="B114" t="str">
            <v>Lào Cai TV</v>
          </cell>
          <cell r="C114" t="str">
            <v>rtp://232.84.2.93:8718</v>
          </cell>
          <cell r="D114" t="str">
            <v>https://s2129132.cdn.mytvnet.vn/vimages/e6/64/49/95/59/99/e6495-plocaitv-channel-unkn.png</v>
          </cell>
        </row>
        <row r="115">
          <cell r="A115">
            <v>455</v>
          </cell>
          <cell r="B115" t="str">
            <v>Quảng Ninh1 (QTV1) HD</v>
          </cell>
          <cell r="C115" t="str">
            <v>rtp://232.84.1.248:10978</v>
          </cell>
          <cell r="D115" t="str">
            <v>https://s2129132.cdn.mytvnet.vn/vimages/b5/51/11/10/0d/d1/b5110-pqungninh1qtv1hd-channel-unkn.png</v>
          </cell>
        </row>
        <row r="116">
          <cell r="A116">
            <v>457</v>
          </cell>
          <cell r="B116" t="str">
            <v>Quảng Ninh3 (QTV3) HD</v>
          </cell>
          <cell r="C116" t="str">
            <v>rtp://232.84.1.249:10984</v>
          </cell>
          <cell r="D116" t="str">
            <v>https://s2129132.cdn.mytvnet.vn/vimages/c5/56/63/32/2a/a0/c5632-pqungninh3qtv3hd-channel-unkn.png</v>
          </cell>
        </row>
        <row r="117">
          <cell r="A117">
            <v>410</v>
          </cell>
          <cell r="B117" t="str">
            <v>Phú Thọ TV (HD)</v>
          </cell>
          <cell r="C117" t="str">
            <v>rtp://232.84.3.148:10792</v>
          </cell>
          <cell r="D117" t="str">
            <v>https://s2129132.cdn.mytvnet.vn/vimages/3d/d4/46/6a/a3/32/3d46a-pphthtvhd-channel-unkn.png</v>
          </cell>
        </row>
        <row r="118">
          <cell r="A118">
            <v>156</v>
          </cell>
          <cell r="B118" t="str">
            <v>Lai Châu TV</v>
          </cell>
          <cell r="C118" t="str">
            <v>rtp://232.84.3.33:11854</v>
          </cell>
          <cell r="D118" t="str">
            <v>https://s2129132.cdn.mytvnet.vn/vimages/17/75/5b/b5/54/4f/175b5-plaichutv-channel-unkn.png</v>
          </cell>
        </row>
        <row r="119">
          <cell r="A119">
            <v>553</v>
          </cell>
          <cell r="B119" t="str">
            <v>DreamWorks (HD)</v>
          </cell>
          <cell r="C119" t="str">
            <v>rtp://232.84.3.227:11284</v>
          </cell>
          <cell r="D119" t="str">
            <v>https://s2129132.cdn.mytvnet.vn/vimages/de/eb/ba/a7/7e/ee/deba7-pdreamworkshd-channel-unkn.png</v>
          </cell>
        </row>
        <row r="120">
          <cell r="A120">
            <v>739</v>
          </cell>
          <cell r="B120" t="str">
            <v>DMAX (HD)</v>
          </cell>
          <cell r="C120" t="str">
            <v>rtp:// 232.84.1.1:7980</v>
          </cell>
          <cell r="D120" t="str">
            <v>https://s2129132.cdn.mytvnet.vn/vimages/be/ed/de/e9/92/2a/bede9-pdmaxhd-channel-unkn.png</v>
          </cell>
        </row>
        <row r="121">
          <cell r="A121">
            <v>157</v>
          </cell>
          <cell r="B121" t="str">
            <v>Sơn La TV</v>
          </cell>
          <cell r="C121" t="str">
            <v>rtp://232.84.3.31:11866</v>
          </cell>
          <cell r="D121" t="str">
            <v>https://s2129132.cdn.mytvnet.vn/vimages/bb/b7/75/54/4d/df/bb754-psnlatv-channel-unkn.png</v>
          </cell>
        </row>
        <row r="122">
          <cell r="A122">
            <v>158</v>
          </cell>
          <cell r="B122" t="str">
            <v>Điện Biên TV</v>
          </cell>
          <cell r="C122" t="str">
            <v>rtp://232.84.3.32:11860</v>
          </cell>
          <cell r="D122" t="str">
            <v>https://s2129132.cdn.mytvnet.vn/vimages/18/8b/bd/d3/30/0a/18bd3-pinbintv-channel-unkn.png</v>
          </cell>
        </row>
        <row r="123">
          <cell r="A123">
            <v>160</v>
          </cell>
          <cell r="B123" t="str">
            <v>Ninh Bình TV</v>
          </cell>
          <cell r="C123" t="str">
            <v>rtp://232.84.3.89:11518</v>
          </cell>
          <cell r="D123" t="str">
            <v>https://s2129132.cdn.mytvnet.vn/vimages/e9/97/7f/fb/be/e9/e97fb-pninhbnhtv-channel-unkn.png</v>
          </cell>
        </row>
        <row r="124">
          <cell r="A124">
            <v>477</v>
          </cell>
          <cell r="B124" t="str">
            <v>Thanh Hóa TV HD</v>
          </cell>
          <cell r="C124" t="str">
            <v>rtp://232.84.3.198:11110</v>
          </cell>
          <cell r="D124" t="str">
            <v>https://s2129132.cdn.mytvnet.vn/vimages/54/4c/c8/80/06/6f/54c80-pthanhhatvhd-channel-unkn.png</v>
          </cell>
        </row>
        <row r="125">
          <cell r="A125">
            <v>453</v>
          </cell>
          <cell r="B125" t="str">
            <v>Nghệ An (HD)</v>
          </cell>
          <cell r="C125" t="str">
            <v>rtp://232.84.2.198:10972</v>
          </cell>
          <cell r="D125" t="str">
            <v>https://s2129132.cdn.mytvnet.vn/vimages/c0/04/40/0b/ba/ad/c040b-pnghanhd-channel-unkn.png</v>
          </cell>
        </row>
        <row r="126">
          <cell r="A126">
            <v>405</v>
          </cell>
          <cell r="B126" t="str">
            <v>Hà Tĩnh TV HD</v>
          </cell>
          <cell r="C126" t="str">
            <v>rtp://232.84.3.134:10768</v>
          </cell>
          <cell r="D126" t="str">
            <v>https://s2129132.cdn.mytvnet.vn/vimages/cf/f0/0c/c8/8e/ed/cf0c8-phtnhtvhd-channel-unkn.png</v>
          </cell>
        </row>
        <row r="127">
          <cell r="A127">
            <v>90</v>
          </cell>
          <cell r="B127" t="str">
            <v>Đà Nẵng 1</v>
          </cell>
          <cell r="C127" t="str">
            <v>rtp://232.84.3.29:11878</v>
          </cell>
          <cell r="D127" t="str">
            <v>https://s2129132.cdn.mytvnet.vn/vimages/41/13/34/4b/ba/aa/4134b-pnng1-channel-unkn.png</v>
          </cell>
        </row>
        <row r="128">
          <cell r="A128">
            <v>60</v>
          </cell>
          <cell r="B128" t="str">
            <v>Đà Nẵng 2</v>
          </cell>
          <cell r="C128" t="str">
            <v>rtp://232.84.3.28:11884</v>
          </cell>
          <cell r="D128" t="str">
            <v>https://s2129132.cdn.mytvnet.vn/vimages/2a/ac/cd/df/f2/2a/2acdf-pnng2-channel-unkn.png</v>
          </cell>
        </row>
        <row r="129">
          <cell r="A129">
            <v>162</v>
          </cell>
          <cell r="B129" t="str">
            <v>DakLak TV</v>
          </cell>
          <cell r="C129" t="str">
            <v>rtp://232.84.3.99:11464</v>
          </cell>
          <cell r="D129" t="str">
            <v>https://s2129132.cdn.mytvnet.vn/vimages/58/87/7e/e1/12/2a/587e1-pdaklaktv-channel-unkn.png</v>
          </cell>
        </row>
        <row r="130">
          <cell r="A130">
            <v>164</v>
          </cell>
          <cell r="B130" t="str">
            <v>Lâm Đồng TV1</v>
          </cell>
          <cell r="C130" t="str">
            <v>rtp://232.84.3.58:11704</v>
          </cell>
          <cell r="D130" t="str">
            <v>https://s2129132.cdn.mytvnet.vn/vimages/d1/16/6c/c0/0b/bd/d16c0-plmngtv1-channel-unkn.png</v>
          </cell>
        </row>
        <row r="131">
          <cell r="A131">
            <v>95</v>
          </cell>
          <cell r="B131" t="str">
            <v>Đồng Nai 2</v>
          </cell>
          <cell r="C131" t="str">
            <v>rtp://232.84.3.24:11908</v>
          </cell>
          <cell r="D131" t="str">
            <v>https://s2129132.cdn.mytvnet.vn/vimages/a7/7f/f9/97/7e/e7/a7f97-pngnai2-channel-unkn.png</v>
          </cell>
        </row>
        <row r="132">
          <cell r="A132">
            <v>404</v>
          </cell>
          <cell r="B132" t="str">
            <v>Đồng Nai 1 HD</v>
          </cell>
          <cell r="C132" t="str">
            <v>rtp://232.84.3.112:10762</v>
          </cell>
          <cell r="D132" t="str">
            <v>https://s2129132.cdn.mytvnet.vn/vimages/fc/c0/0c/c8/8a/ae/fc0c8-pngnai1hd-channel-unkn.png</v>
          </cell>
        </row>
        <row r="133">
          <cell r="A133">
            <v>479</v>
          </cell>
          <cell r="B133" t="str">
            <v>HTV5</v>
          </cell>
          <cell r="C133" t="str">
            <v>rtp://232.84.3.199:11116</v>
          </cell>
          <cell r="D133" t="str">
            <v>https://s2129132.cdn.mytvnet.vn/vimages/5f/f3/37/78/84/4f/5f378-phtv5-channel-unkn.png</v>
          </cell>
        </row>
        <row r="134">
          <cell r="A134">
            <v>47</v>
          </cell>
          <cell r="B134" t="str">
            <v>Tây Ninh TV</v>
          </cell>
          <cell r="C134" t="str">
            <v>rtp://232.84.2.3:10314</v>
          </cell>
          <cell r="D134" t="str">
            <v>https://s2129132.cdn.mytvnet.vn/vimages/ff/f2/20/02/21/16/ff202-ptyninh1-channel-unkn.png</v>
          </cell>
        </row>
        <row r="135">
          <cell r="A135">
            <v>54</v>
          </cell>
          <cell r="B135" t="str">
            <v>Đồng Tháp TV2</v>
          </cell>
          <cell r="C135" t="str">
            <v>rtp://232.84.3.204:11146</v>
          </cell>
          <cell r="D135" t="str">
            <v>https://s2129132.cdn.mytvnet.vn/vimages/89/9e/ef/f7/7a/ad/89ef7-pngthptv2-channel-unkn.png</v>
          </cell>
        </row>
        <row r="136">
          <cell r="A136">
            <v>39</v>
          </cell>
          <cell r="B136" t="str">
            <v>Cần Thơ TV1</v>
          </cell>
          <cell r="C136" t="str">
            <v>rtp://232.84.3.23:11914</v>
          </cell>
          <cell r="D136" t="str">
            <v>https://s2129132.cdn.mytvnet.vn/vimages/88/87/79/93/30/09/88793-pcnthtv1-channel-unkn.png</v>
          </cell>
        </row>
        <row r="137">
          <cell r="A137">
            <v>96</v>
          </cell>
          <cell r="B137" t="str">
            <v>Đồng Tháp TV1</v>
          </cell>
          <cell r="C137" t="str">
            <v>rtp://232.84.3.235:11332</v>
          </cell>
          <cell r="D137" t="str">
            <v>https://s2129132.cdn.mytvnet.vn/vimages/1a/ab/b5/54/4f/ff/1ab54-pngthptv1-channel-unkn.png</v>
          </cell>
        </row>
        <row r="138">
          <cell r="A138">
            <v>34</v>
          </cell>
          <cell r="B138" t="str">
            <v>An Giang 2</v>
          </cell>
          <cell r="C138" t="str">
            <v>rtp://232.84.3.81:11566</v>
          </cell>
          <cell r="D138" t="str">
            <v>https://s2129132.cdn.mytvnet.vn/vimages/21/19/97/73/3e/e0/21973-pangiang2-channel-unkn.png</v>
          </cell>
        </row>
        <row r="139">
          <cell r="A139">
            <v>433</v>
          </cell>
          <cell r="B139" t="str">
            <v>An Giang 1</v>
          </cell>
          <cell r="C139" t="str">
            <v>rtp://232.84.3.161:10918</v>
          </cell>
          <cell r="D139" t="str">
            <v>https://s2129132.cdn.mytvnet.vn/vimages/7d/d7/74/42/2c/c4/7d742-pangiang1-channel-unkn.png</v>
          </cell>
        </row>
        <row r="140">
          <cell r="A140">
            <v>123</v>
          </cell>
          <cell r="B140" t="str">
            <v>Cà Mau</v>
          </cell>
          <cell r="C140" t="str">
            <v>rtp://232.84.3.20:11932</v>
          </cell>
          <cell r="D140" t="str">
            <v>https://s2129132.cdn.mytvnet.vn/vimages/bf/f6/69/9e/e0/0b/bf69e-pcmau-channel-unkn.png</v>
          </cell>
        </row>
        <row r="141">
          <cell r="A141">
            <v>121</v>
          </cell>
          <cell r="B141" t="str">
            <v>Quảng Trị HD</v>
          </cell>
          <cell r="C141" t="str">
            <v>rtp://232.84.3.46:11776</v>
          </cell>
          <cell r="D141" t="str">
            <v>https://s2129132.cdn.mytvnet.vn/vimages/1d/d1/11/12/20/0b/1d112-pqungtrhd-channel-unkn.png</v>
          </cell>
        </row>
        <row r="142">
          <cell r="A142">
            <v>168</v>
          </cell>
          <cell r="B142" t="str">
            <v>Huế TV</v>
          </cell>
          <cell r="C142" t="str">
            <v>rtp://232.84.3.34:11848</v>
          </cell>
          <cell r="D142" t="str">
            <v>https://s2129132.cdn.mytvnet.vn/vimages/cf/f6/63/3e/e7/70/cf63e-phutv-channel-unkn.png</v>
          </cell>
        </row>
        <row r="143">
          <cell r="A143">
            <v>409</v>
          </cell>
          <cell r="B143" t="str">
            <v>QuangNgaiTV1</v>
          </cell>
          <cell r="C143" t="str">
            <v>rtp://232.84.3.126:10798</v>
          </cell>
          <cell r="D143" t="str">
            <v>https://s2129132.cdn.mytvnet.vn/vimages/a9/9b/b0/09/98/8f/a9b09-pquangngaitv1-channel-unkn.png</v>
          </cell>
        </row>
        <row r="144">
          <cell r="A144">
            <v>114</v>
          </cell>
          <cell r="B144" t="str">
            <v>Khánh Hòa</v>
          </cell>
          <cell r="C144" t="str">
            <v>rtp://232.84.3.26:11896</v>
          </cell>
          <cell r="D144" t="str">
            <v>https://s2129132.cdn.mytvnet.vn/vimages/7e/e2/2d/d4/45/56/7e2d4-pkhnhha-channel-unkn.png</v>
          </cell>
        </row>
        <row r="145">
          <cell r="A145">
            <v>172</v>
          </cell>
          <cell r="B145" t="str">
            <v>Gia Lai TV</v>
          </cell>
          <cell r="C145" t="str">
            <v>rtp://232.84.3.27:11890</v>
          </cell>
          <cell r="D145" t="str">
            <v>https://s2129132.cdn.mytvnet.vn/vimages/73/3d/da/a2/26/6e/73da2-pgialaitv-channel-unkn.png</v>
          </cell>
        </row>
        <row r="146">
          <cell r="A146">
            <v>173</v>
          </cell>
          <cell r="B146" t="str">
            <v>QuangNgaiTV2</v>
          </cell>
          <cell r="C146" t="str">
            <v>rtp://232.84.3.80:11572</v>
          </cell>
          <cell r="D146" t="str">
            <v>https://s2129132.cdn.mytvnet.vn/vimages/f9/9b/b7/7e/e1/13/f9b7e-pquangngaitv2-channel-unkn.png</v>
          </cell>
        </row>
        <row r="147">
          <cell r="A147">
            <v>175</v>
          </cell>
          <cell r="B147" t="str">
            <v>Vĩnh Long 5</v>
          </cell>
          <cell r="C147" t="str">
            <v>rtp://232.84.3.21:11926</v>
          </cell>
          <cell r="D147" t="str">
            <v>https://s2129132.cdn.mytvnet.vn/vimages/ed/dd/d9/94/47/74/edd94-pvnhlong5-channel-unkn.png</v>
          </cell>
        </row>
        <row r="148">
          <cell r="A148">
            <v>176</v>
          </cell>
          <cell r="B148" t="str">
            <v>Khánh Hòa 1</v>
          </cell>
          <cell r="C148" t="str">
            <v>rtp://232.84.3.25:11902</v>
          </cell>
          <cell r="D148" t="str">
            <v>https://s2129132.cdn.mytvnet.vn/vimages/a0/0b/bf/fd/d6/6e/a0bfd-pkhnhha1-channel-unkn.png</v>
          </cell>
        </row>
        <row r="149">
          <cell r="A149">
            <v>125</v>
          </cell>
          <cell r="B149" t="str">
            <v>Lâm Đồng TV2</v>
          </cell>
          <cell r="C149" t="str">
            <v>rtp://232.84.3.87:11530</v>
          </cell>
          <cell r="D149" t="str">
            <v>https://s2129132.cdn.mytvnet.vn/vimages/88/85/59/96/63/3d/88596-plmngtv2-channel-unkn.png</v>
          </cell>
        </row>
        <row r="150">
          <cell r="A150">
            <v>408</v>
          </cell>
          <cell r="B150" t="str">
            <v>Hưng Yên TV HD</v>
          </cell>
          <cell r="C150" t="str">
            <v>rtp://232.84.3.110:10786</v>
          </cell>
          <cell r="D150" t="str">
            <v>https://s2129132.cdn.mytvnet.vn/vimages/11/14/40/0e/e5/54/1140e-phngyntvhd-channel-unkn.png</v>
          </cell>
        </row>
        <row r="151">
          <cell r="A151">
            <v>181</v>
          </cell>
          <cell r="B151" t="str">
            <v>Cần Thơ TV2</v>
          </cell>
          <cell r="C151" t="str">
            <v>rtp://232.84.3.22:11920</v>
          </cell>
          <cell r="D151" t="str">
            <v>https://s2129132.cdn.mytvnet.vn/vimages/12/23/3e/e2/20/05/123e2-pcnthtv2-channel-unkn.png</v>
          </cell>
        </row>
        <row r="152">
          <cell r="A152">
            <v>183</v>
          </cell>
          <cell r="B152" t="str">
            <v>Bắc Ninh</v>
          </cell>
          <cell r="C152" t="str">
            <v>rtp://232.84.3.100:11452</v>
          </cell>
          <cell r="D152" t="str">
            <v>https://s2129132.cdn.mytvnet.vn/vimages/22/2e/e6/6e/ea/ad/22e6e-pbcninh-channel-unkn.png</v>
          </cell>
        </row>
        <row r="153">
          <cell r="A153">
            <v>339</v>
          </cell>
          <cell r="B153" t="str">
            <v>VNPT Promo</v>
          </cell>
          <cell r="C153" t="str">
            <v>rtp://232.84.3.195:11092</v>
          </cell>
          <cell r="D153" t="str">
            <v>https://s2129132.cdn.mytvnet.vn/vimages/85/52/2c/cd/d8/8f/852cd-pknh0-channel-unkn.png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9"/>
  <sheetViews>
    <sheetView tabSelected="1" topLeftCell="C130" workbookViewId="0">
      <selection activeCell="H138" sqref="H138"/>
    </sheetView>
  </sheetViews>
  <sheetFormatPr defaultRowHeight="15" x14ac:dyDescent="0.25"/>
  <cols>
    <col min="1" max="1" width="5" style="2" hidden="1" customWidth="1"/>
    <col min="2" max="2" width="72" style="2" hidden="1" customWidth="1"/>
    <col min="3" max="3" width="12" style="2" bestFit="1" customWidth="1"/>
    <col min="4" max="4" width="29" style="2" bestFit="1" customWidth="1"/>
    <col min="5" max="5" width="16" style="2" bestFit="1" customWidth="1"/>
    <col min="6" max="6" width="17" style="2" bestFit="1" customWidth="1"/>
    <col min="7" max="7" width="23" style="2" bestFit="1" customWidth="1"/>
    <col min="8" max="8" width="48" style="2" customWidth="1"/>
    <col min="9" max="9" width="48" style="2" bestFit="1" customWidth="1"/>
    <col min="10" max="10" width="48" customWidth="1"/>
    <col min="11" max="11" width="12" style="2" bestFit="1" customWidth="1"/>
    <col min="12" max="13" width="9.140625" style="2" customWidth="1"/>
    <col min="14" max="16384" width="9.140625" style="2"/>
  </cols>
  <sheetData>
    <row r="1" spans="1:11" ht="12.75" x14ac:dyDescent="0.2">
      <c r="A1" s="1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12.75" x14ac:dyDescent="0.2">
      <c r="A2" s="2">
        <v>85</v>
      </c>
      <c r="B2" s="2" t="s">
        <v>124</v>
      </c>
      <c r="C2" s="2">
        <v>321</v>
      </c>
      <c r="D2" s="2" t="s">
        <v>22</v>
      </c>
      <c r="E2" s="2">
        <f>C2</f>
        <v>321</v>
      </c>
      <c r="F2" s="2" t="str">
        <f>VLOOKUP(D2,Sheet2!D:E,2,0)</f>
        <v>abcaustralia</v>
      </c>
      <c r="G2" s="2" t="str">
        <f>D2</f>
        <v>ABC Australia</v>
      </c>
      <c r="H2" s="2" t="str">
        <f>IFERROR(VLOOKUP(C2,[1]Sheet1!$A:$D,4,0),"")</f>
        <v>https://s2129132.cdn.mytvnet.vn/vimages/49/9c/c9/95/52/26/49c95-pabcaustralia-channel-unkn.png</v>
      </c>
      <c r="I2" s="2" t="str">
        <f>IFERROR(VLOOKUP(C2,[1]Sheet1!$A:$D,2,0),"")</f>
        <v>ABC Australia</v>
      </c>
      <c r="J2" s="2" t="str">
        <f>IFERROR(VLOOKUP(C2,[1]Sheet1!$A:$D,3,0),"")</f>
        <v>rtp://232.84.3.131:10482</v>
      </c>
      <c r="K2" s="2" t="b">
        <f>D2=I2</f>
        <v>1</v>
      </c>
    </row>
    <row r="3" spans="1:11" ht="12.75" x14ac:dyDescent="0.2">
      <c r="A3" s="2">
        <v>110</v>
      </c>
      <c r="B3" s="2" t="s">
        <v>162</v>
      </c>
      <c r="C3" s="2">
        <v>598</v>
      </c>
      <c r="D3" s="2" t="s">
        <v>22</v>
      </c>
      <c r="E3" s="2">
        <f t="shared" ref="E3:E66" si="0">C3</f>
        <v>598</v>
      </c>
      <c r="F3" s="2" t="str">
        <f>VLOOKUP(D3,Sheet2!D:E,2,0)</f>
        <v>abcaustralia</v>
      </c>
      <c r="G3" s="2" t="str">
        <f t="shared" ref="G3:G66" si="1">D3</f>
        <v>ABC Australia</v>
      </c>
      <c r="H3" s="2" t="str">
        <f>IFERROR(VLOOKUP(C3,[1]Sheet1!$A:$D,4,0),"")</f>
        <v>https://s2129132.cdn.mytvnet.vn/vimages/08/81/10/02/23/3b/08102-pabcaustralia-channel-unkn.png</v>
      </c>
      <c r="I3" s="2" t="str">
        <f>IFERROR(VLOOKUP(C3,[1]Sheet1!$A:$D,2,0),"")</f>
        <v>ABC Australia</v>
      </c>
      <c r="J3" s="2" t="str">
        <f>IFERROR(VLOOKUP(C3,[1]Sheet1!$A:$D,3,0),"")</f>
        <v>ABC Autrailia (OTT)</v>
      </c>
      <c r="K3" s="2" t="b">
        <f>D3=I3</f>
        <v>1</v>
      </c>
    </row>
    <row r="4" spans="1:11" ht="12.75" x14ac:dyDescent="0.2">
      <c r="A4" s="2">
        <v>138</v>
      </c>
      <c r="B4" s="2" t="s">
        <v>204</v>
      </c>
      <c r="C4" s="2">
        <v>433</v>
      </c>
      <c r="D4" s="2" t="s">
        <v>134</v>
      </c>
      <c r="E4" s="2">
        <f t="shared" si="0"/>
        <v>433</v>
      </c>
      <c r="F4" s="2" t="str">
        <f>VLOOKUP(D4,Sheet2!D:E,2,0)</f>
        <v>angiang1</v>
      </c>
      <c r="G4" s="2" t="str">
        <f t="shared" si="1"/>
        <v>An Giang 1</v>
      </c>
      <c r="H4" s="2" t="str">
        <f>IFERROR(VLOOKUP(C4,[1]Sheet1!$A:$D,4,0),"")</f>
        <v>https://s2129132.cdn.mytvnet.vn/vimages/7d/d7/74/42/2c/c4/7d742-pangiang1-channel-unkn.png</v>
      </c>
      <c r="I4" s="2" t="str">
        <f>IFERROR(VLOOKUP(C4,[1]Sheet1!$A:$D,2,0),"")</f>
        <v>An Giang 1</v>
      </c>
      <c r="J4" s="2" t="str">
        <f>IFERROR(VLOOKUP(C4,[1]Sheet1!$A:$D,3,0),"")</f>
        <v>rtp://232.84.3.161:10918</v>
      </c>
      <c r="K4" s="2" t="b">
        <f>D4=I4</f>
        <v>1</v>
      </c>
    </row>
    <row r="5" spans="1:11" ht="12.75" x14ac:dyDescent="0.2">
      <c r="A5" s="2">
        <v>137</v>
      </c>
      <c r="B5" s="2" t="s">
        <v>202</v>
      </c>
      <c r="C5" s="2">
        <v>34</v>
      </c>
      <c r="D5" s="2" t="s">
        <v>24</v>
      </c>
      <c r="E5" s="2">
        <f t="shared" si="0"/>
        <v>34</v>
      </c>
      <c r="F5" s="2" t="str">
        <f>VLOOKUP(D5,Sheet2!D:E,2,0)</f>
        <v>angiang2</v>
      </c>
      <c r="G5" s="2" t="str">
        <f t="shared" si="1"/>
        <v>An Giang 2</v>
      </c>
      <c r="H5" s="2" t="str">
        <f>IFERROR(VLOOKUP(C5,[1]Sheet1!$A:$D,4,0),"")</f>
        <v>https://s2129132.cdn.mytvnet.vn/vimages/21/19/97/73/3e/e0/21973-pangiang2-channel-unkn.png</v>
      </c>
      <c r="I5" s="2" t="str">
        <f>IFERROR(VLOOKUP(C5,[1]Sheet1!$A:$D,2,0),"")</f>
        <v>An Giang 2</v>
      </c>
      <c r="J5" s="2" t="str">
        <f>IFERROR(VLOOKUP(C5,[1]Sheet1!$A:$D,3,0),"")</f>
        <v>rtp://232.84.3.81:11566</v>
      </c>
      <c r="K5" s="2" t="b">
        <f>D5=I5</f>
        <v>1</v>
      </c>
    </row>
    <row r="6" spans="1:11" ht="12.75" x14ac:dyDescent="0.2">
      <c r="A6" s="2">
        <v>90</v>
      </c>
      <c r="B6" s="2" t="s">
        <v>129</v>
      </c>
      <c r="C6" s="2">
        <v>394</v>
      </c>
      <c r="D6" s="2" t="s">
        <v>808</v>
      </c>
      <c r="E6" s="2">
        <f t="shared" si="0"/>
        <v>394</v>
      </c>
      <c r="F6" s="2" t="str">
        <f>VLOOKUP(D6,Sheet2!D:E,2,0)</f>
        <v>animalhd</v>
      </c>
      <c r="G6" s="2" t="str">
        <f t="shared" si="1"/>
        <v>Animal Planet</v>
      </c>
      <c r="H6" s="2" t="str">
        <f>IFERROR(VLOOKUP(C6,[1]Sheet1!$A:$D,4,0),"")</f>
        <v>https://s2129132.cdn.mytvnet.vn/vimages/86/64/4a/a2/2d/dd/864a2-panimalplannethd-channel-unkn.png</v>
      </c>
      <c r="I6" s="2" t="str">
        <f>IFERROR(VLOOKUP(C6,[1]Sheet1!$A:$D,2,0),"")</f>
        <v>Animal Plannet HD</v>
      </c>
      <c r="J6" s="2" t="str">
        <f>IFERROR(VLOOKUP(C6,[1]Sheet1!$A:$D,3,0),"")</f>
        <v>rtp://232.84.3.139:10702</v>
      </c>
      <c r="K6" s="2" t="b">
        <f>D6=I6</f>
        <v>0</v>
      </c>
    </row>
    <row r="7" spans="1:11" ht="12.75" x14ac:dyDescent="0.2">
      <c r="A7" s="2">
        <v>102</v>
      </c>
      <c r="B7" s="2" t="s">
        <v>148</v>
      </c>
      <c r="C7" s="2">
        <v>589</v>
      </c>
      <c r="D7" s="2" t="s">
        <v>808</v>
      </c>
      <c r="E7" s="2">
        <f t="shared" si="0"/>
        <v>589</v>
      </c>
      <c r="F7" s="2" t="str">
        <f>VLOOKUP(D7,Sheet2!D:E,2,0)</f>
        <v>animalhd</v>
      </c>
      <c r="G7" s="2" t="str">
        <f t="shared" si="1"/>
        <v>Animal Planet</v>
      </c>
      <c r="H7" s="2" t="str">
        <f>IFERROR(VLOOKUP(C7,[1]Sheet1!$A:$D,4,0),"")</f>
        <v>https://s2129132.cdn.mytvnet.vn/vimages/c7/7d/df/fb/bc/c3/c7dfb-panimalplannethd-channel-unkn.png</v>
      </c>
      <c r="I7" s="2" t="str">
        <f>IFERROR(VLOOKUP(C7,[1]Sheet1!$A:$D,2,0),"")</f>
        <v>Animal Plannet HD</v>
      </c>
      <c r="J7" s="2">
        <f>IFERROR(VLOOKUP(C7,[1]Sheet1!$A:$D,3,0),"")</f>
        <v>0</v>
      </c>
      <c r="K7" s="2" t="b">
        <f>D7=I7</f>
        <v>0</v>
      </c>
    </row>
    <row r="8" spans="1:11" ht="12.75" x14ac:dyDescent="0.2">
      <c r="A8" s="2">
        <v>28</v>
      </c>
      <c r="B8" s="2" t="s">
        <v>44</v>
      </c>
      <c r="C8" s="2">
        <v>35</v>
      </c>
      <c r="D8" s="2" t="s">
        <v>27</v>
      </c>
      <c r="E8" s="2">
        <f t="shared" si="0"/>
        <v>35</v>
      </c>
      <c r="F8" s="2" t="str">
        <f>VLOOKUP(D8,Sheet2!D:E,2,0)</f>
        <v>antvhd</v>
      </c>
      <c r="G8" s="2" t="str">
        <f t="shared" si="1"/>
        <v>ANTV</v>
      </c>
      <c r="H8" s="2" t="str">
        <f>IFERROR(VLOOKUP(C8,[1]Sheet1!$A:$D,4,0),"")</f>
        <v>https://s2129132.cdn.mytvnet.vn/vimages/ad/da/a5/5a/a6/69/ada5a-pantv-channel-unkn.png</v>
      </c>
      <c r="I8" s="2" t="str">
        <f>IFERROR(VLOOKUP(C8,[1]Sheet1!$A:$D,2,0),"")</f>
        <v>ANTV</v>
      </c>
      <c r="J8" s="2" t="str">
        <f>IFERROR(VLOOKUP(C8,[1]Sheet1!$A:$D,3,0),"")</f>
        <v>rtp://232.84.1.212:9246</v>
      </c>
      <c r="K8" s="2" t="b">
        <f>D8=I8</f>
        <v>1</v>
      </c>
    </row>
    <row r="9" spans="1:11" ht="12.75" x14ac:dyDescent="0.2">
      <c r="A9" s="2">
        <v>89</v>
      </c>
      <c r="B9" s="2" t="s">
        <v>128</v>
      </c>
      <c r="C9" s="2">
        <v>63</v>
      </c>
      <c r="D9" s="2" t="s">
        <v>29</v>
      </c>
      <c r="E9" s="2">
        <f t="shared" si="0"/>
        <v>63</v>
      </c>
      <c r="F9" s="2" t="str">
        <f>VLOOKUP(D9,Sheet2!D:E,2,0)</f>
        <v>arirang</v>
      </c>
      <c r="G9" s="2" t="str">
        <f t="shared" si="1"/>
        <v>Arirang</v>
      </c>
      <c r="H9" s="2" t="str">
        <f>IFERROR(VLOOKUP(C9,[1]Sheet1!$A:$D,4,0),"")</f>
        <v>https://s2129132.cdn.mytvnet.vn/vimages/48/8c/cf/f9/9e/e6/48cf9-parirang-channel-unkn.png</v>
      </c>
      <c r="I9" s="2" t="str">
        <f>IFERROR(VLOOKUP(C9,[1]Sheet1!$A:$D,2,0),"")</f>
        <v>Arirang</v>
      </c>
      <c r="J9" s="2" t="str">
        <f>IFERROR(VLOOKUP(C9,[1]Sheet1!$A:$D,3,0),"")</f>
        <v>rtp://232.84.1.43:8238</v>
      </c>
      <c r="K9" s="2" t="b">
        <f>D9=I9</f>
        <v>1</v>
      </c>
    </row>
    <row r="10" spans="1:11" ht="12.75" x14ac:dyDescent="0.2">
      <c r="A10" s="2">
        <v>84</v>
      </c>
      <c r="B10" s="2" t="s">
        <v>123</v>
      </c>
      <c r="C10" s="2">
        <v>298</v>
      </c>
      <c r="D10" s="2" t="s">
        <v>809</v>
      </c>
      <c r="E10" s="2">
        <f t="shared" si="0"/>
        <v>298</v>
      </c>
      <c r="F10" s="2" t="str">
        <f>VLOOKUP(D10,Sheet2!D:E,2,0)</f>
        <v>afnhd</v>
      </c>
      <c r="G10" s="2" t="str">
        <f t="shared" si="1"/>
        <v>Asian Food Network</v>
      </c>
      <c r="H10" s="2" t="str">
        <f>IFERROR(VLOOKUP(C10,[1]Sheet1!$A:$D,4,0),"")</f>
        <v>https://s2129132.cdn.mytvnet.vn/vimages/33/33/32/20/08/8d/33320-pasianfoodnetworkhd-channel-unkn.png</v>
      </c>
      <c r="I10" s="2" t="str">
        <f>IFERROR(VLOOKUP(C10,[1]Sheet1!$A:$D,2,0),"")</f>
        <v>Asian Food Network (HD)</v>
      </c>
      <c r="J10" s="2" t="str">
        <f>IFERROR(VLOOKUP(C10,[1]Sheet1!$A:$D,3,0),"")</f>
        <v>rtp://232.84.2.129:9570</v>
      </c>
      <c r="K10" s="2" t="b">
        <f>D10=I10</f>
        <v>0</v>
      </c>
    </row>
    <row r="11" spans="1:11" ht="12.75" x14ac:dyDescent="0.2">
      <c r="A11" s="2">
        <v>103</v>
      </c>
      <c r="B11" s="2" t="s">
        <v>150</v>
      </c>
      <c r="C11" s="2">
        <v>590</v>
      </c>
      <c r="D11" s="2" t="s">
        <v>32</v>
      </c>
      <c r="E11" s="2">
        <f t="shared" si="0"/>
        <v>590</v>
      </c>
      <c r="F11" s="2" t="str">
        <f>VLOOKUP(D11,Sheet2!D:E,2,0)</f>
        <v>axnhd</v>
      </c>
      <c r="G11" s="2" t="str">
        <f t="shared" si="1"/>
        <v>AXN HD</v>
      </c>
      <c r="H11" s="2" t="str">
        <f>IFERROR(VLOOKUP(C11,[1]Sheet1!$A:$D,4,0),"")</f>
        <v>https://s2129132.cdn.mytvnet.vn/vimages/68/8a/a7/70/06/6f/68a70-paxnhd-channel-unkn.png</v>
      </c>
      <c r="I11" s="2" t="str">
        <f>IFERROR(VLOOKUP(C11,[1]Sheet1!$A:$D,2,0),"")</f>
        <v>AXN HD</v>
      </c>
      <c r="J11" s="2">
        <f>IFERROR(VLOOKUP(C11,[1]Sheet1!$A:$D,3,0),"")</f>
        <v>0</v>
      </c>
      <c r="K11" s="2" t="b">
        <f>D11=I11</f>
        <v>1</v>
      </c>
    </row>
    <row r="12" spans="1:11" ht="12.75" x14ac:dyDescent="0.2">
      <c r="A12" s="2">
        <v>151</v>
      </c>
      <c r="B12" s="2" t="s">
        <v>227</v>
      </c>
      <c r="C12" s="2">
        <v>183</v>
      </c>
      <c r="D12" s="2" t="s">
        <v>34</v>
      </c>
      <c r="E12" s="2">
        <f t="shared" si="0"/>
        <v>183</v>
      </c>
      <c r="F12" s="2" t="str">
        <f>VLOOKUP(D12,Sheet2!D:E,2,0)</f>
        <v>bacninh</v>
      </c>
      <c r="G12" s="2" t="str">
        <f t="shared" si="1"/>
        <v>Bắc Ninh</v>
      </c>
      <c r="H12" s="2" t="str">
        <f>IFERROR(VLOOKUP(C12,[1]Sheet1!$A:$D,4,0),"")</f>
        <v>https://s2129132.cdn.mytvnet.vn/vimages/22/2e/e6/6e/ea/ad/22e6e-pbcninh-channel-unkn.png</v>
      </c>
      <c r="I12" s="2" t="str">
        <f>IFERROR(VLOOKUP(C12,[1]Sheet1!$A:$D,2,0),"")</f>
        <v>Bắc Ninh</v>
      </c>
      <c r="J12" s="2" t="str">
        <f>IFERROR(VLOOKUP(C12,[1]Sheet1!$A:$D,3,0),"")</f>
        <v>rtp://232.84.3.100:11452</v>
      </c>
      <c r="K12" s="2" t="b">
        <f>D12=I12</f>
        <v>1</v>
      </c>
    </row>
    <row r="13" spans="1:11" ht="12.75" x14ac:dyDescent="0.2">
      <c r="A13" s="2">
        <v>41</v>
      </c>
      <c r="B13" s="2" t="s">
        <v>65</v>
      </c>
      <c r="C13" s="2">
        <v>105</v>
      </c>
      <c r="D13" s="2" t="s">
        <v>810</v>
      </c>
      <c r="E13" s="2">
        <f t="shared" si="0"/>
        <v>105</v>
      </c>
      <c r="F13" s="2" t="str">
        <f>VLOOKUP(D13,Sheet2!D:E,2,0)</f>
        <v>boxhits</v>
      </c>
      <c r="G13" s="2" t="str">
        <f t="shared" si="1"/>
        <v>Box Hits</v>
      </c>
      <c r="H13" s="2" t="str">
        <f>IFERROR(VLOOKUP(C13,[1]Sheet1!$A:$D,4,0),"")</f>
        <v>https://s2129132.cdn.mytvnet.vn/vimages/e6/6b/b5/56/68/84/e6b56-pboxhitshd-channel-unkn.png</v>
      </c>
      <c r="I13" s="2" t="str">
        <f>IFERROR(VLOOKUP(C13,[1]Sheet1!$A:$D,2,0),"")</f>
        <v>Box Hits (HD)</v>
      </c>
      <c r="J13" s="2" t="str">
        <f>IFERROR(VLOOKUP(C13,[1]Sheet1!$A:$D,3,0),"")</f>
        <v>rtp://232.84.1.77:8436</v>
      </c>
      <c r="K13" s="2" t="b">
        <f>D13=I13</f>
        <v>0</v>
      </c>
    </row>
    <row r="14" spans="1:11" ht="12.75" x14ac:dyDescent="0.2">
      <c r="A14" s="2">
        <v>9</v>
      </c>
      <c r="B14" s="2" t="s">
        <v>19</v>
      </c>
      <c r="C14" s="2">
        <v>115</v>
      </c>
      <c r="D14" s="2" t="s">
        <v>46</v>
      </c>
      <c r="E14" s="2">
        <f t="shared" si="0"/>
        <v>115</v>
      </c>
      <c r="F14" s="2" t="e">
        <f>VLOOKUP(D14,Sheet2!D:E,2,0)</f>
        <v>#N/A</v>
      </c>
      <c r="G14" s="2" t="str">
        <f t="shared" si="1"/>
        <v>BTV6 - Shopping 24h</v>
      </c>
      <c r="H14" s="2" t="str">
        <f>IFERROR(VLOOKUP(C14,[1]Sheet1!$A:$D,4,0),"")</f>
        <v>https://s2129132.cdn.mytvnet.vn/vimages/cf/f0/0b/b7/75/51/cf0b7-pbtv6shopping24h-channel-unkn.png</v>
      </c>
      <c r="I14" s="2" t="str">
        <f>IFERROR(VLOOKUP(C14,[1]Sheet1!$A:$D,2,0),"")</f>
        <v>BTV6 - Shopping 24h</v>
      </c>
      <c r="J14" s="2" t="str">
        <f>IFERROR(VLOOKUP(C14,[1]Sheet1!$A:$D,3,0),"")</f>
        <v>rtp://232.84.2.197:10966</v>
      </c>
      <c r="K14" s="2" t="b">
        <f>D14=I14</f>
        <v>1</v>
      </c>
    </row>
    <row r="15" spans="1:11" ht="12.75" x14ac:dyDescent="0.2">
      <c r="A15" s="2">
        <v>139</v>
      </c>
      <c r="B15" s="2" t="s">
        <v>206</v>
      </c>
      <c r="C15" s="2">
        <v>123</v>
      </c>
      <c r="D15" s="2" t="s">
        <v>49</v>
      </c>
      <c r="E15" s="2">
        <f t="shared" si="0"/>
        <v>123</v>
      </c>
      <c r="F15" s="2" t="str">
        <f>VLOOKUP(D15,Sheet2!D:E,2,0)</f>
        <v>camau</v>
      </c>
      <c r="G15" s="2" t="str">
        <f t="shared" si="1"/>
        <v>Cà Mau</v>
      </c>
      <c r="H15" s="2" t="str">
        <f>IFERROR(VLOOKUP(C15,[1]Sheet1!$A:$D,4,0),"")</f>
        <v>https://s2129132.cdn.mytvnet.vn/vimages/bf/f6/69/9e/e0/0b/bf69e-pcmau-channel-unkn.png</v>
      </c>
      <c r="I15" s="2" t="str">
        <f>IFERROR(VLOOKUP(C15,[1]Sheet1!$A:$D,2,0),"")</f>
        <v>Cà Mau</v>
      </c>
      <c r="J15" s="2" t="str">
        <f>IFERROR(VLOOKUP(C15,[1]Sheet1!$A:$D,3,0),"")</f>
        <v>rtp://232.84.3.20:11932</v>
      </c>
      <c r="K15" s="2" t="b">
        <f>D15=I15</f>
        <v>1</v>
      </c>
    </row>
    <row r="16" spans="1:11" ht="12.75" x14ac:dyDescent="0.2">
      <c r="A16" s="2">
        <v>135</v>
      </c>
      <c r="B16" s="2" t="s">
        <v>200</v>
      </c>
      <c r="C16" s="2">
        <v>39</v>
      </c>
      <c r="D16" s="2" t="s">
        <v>51</v>
      </c>
      <c r="E16" s="2">
        <f t="shared" si="0"/>
        <v>39</v>
      </c>
      <c r="F16" s="2" t="str">
        <f>VLOOKUP(D16,Sheet2!D:E,2,0)</f>
        <v>cantho1</v>
      </c>
      <c r="G16" s="2" t="str">
        <f t="shared" si="1"/>
        <v>Cần Thơ TV1</v>
      </c>
      <c r="H16" s="2" t="str">
        <f>IFERROR(VLOOKUP(C16,[1]Sheet1!$A:$D,4,0),"")</f>
        <v>https://s2129132.cdn.mytvnet.vn/vimages/88/87/79/93/30/09/88793-pcnthtv1-channel-unkn.png</v>
      </c>
      <c r="I16" s="2" t="str">
        <f>IFERROR(VLOOKUP(C16,[1]Sheet1!$A:$D,2,0),"")</f>
        <v>Cần Thơ TV1</v>
      </c>
      <c r="J16" s="2" t="str">
        <f>IFERROR(VLOOKUP(C16,[1]Sheet1!$A:$D,3,0),"")</f>
        <v>rtp://232.84.3.23:11914</v>
      </c>
      <c r="K16" s="2" t="b">
        <f>D16=I16</f>
        <v>1</v>
      </c>
    </row>
    <row r="17" spans="1:11" ht="12.75" x14ac:dyDescent="0.2">
      <c r="A17" s="2">
        <v>150</v>
      </c>
      <c r="B17" s="2" t="s">
        <v>225</v>
      </c>
      <c r="C17" s="2">
        <v>181</v>
      </c>
      <c r="D17" s="2" t="s">
        <v>97</v>
      </c>
      <c r="E17" s="2">
        <f t="shared" si="0"/>
        <v>181</v>
      </c>
      <c r="F17" s="2" t="str">
        <f>VLOOKUP(D17,Sheet2!D:E,2,0)</f>
        <v>cantho2</v>
      </c>
      <c r="G17" s="2" t="str">
        <f t="shared" si="1"/>
        <v>Cần Thơ TV2</v>
      </c>
      <c r="H17" s="2" t="str">
        <f>IFERROR(VLOOKUP(C17,[1]Sheet1!$A:$D,4,0),"")</f>
        <v>https://s2129132.cdn.mytvnet.vn/vimages/12/23/3e/e2/20/05/123e2-pcnthtv2-channel-unkn.png</v>
      </c>
      <c r="I17" s="2" t="str">
        <f>IFERROR(VLOOKUP(C17,[1]Sheet1!$A:$D,2,0),"")</f>
        <v>Cần Thơ TV2</v>
      </c>
      <c r="J17" s="2" t="str">
        <f>IFERROR(VLOOKUP(C17,[1]Sheet1!$A:$D,3,0),"")</f>
        <v>rtp://232.84.3.22:11920</v>
      </c>
      <c r="K17" s="2" t="b">
        <f>D17=I17</f>
        <v>1</v>
      </c>
    </row>
    <row r="18" spans="1:11" ht="12.75" x14ac:dyDescent="0.2">
      <c r="A18" s="2">
        <v>98</v>
      </c>
      <c r="B18" s="2" t="s">
        <v>143</v>
      </c>
      <c r="C18" s="2">
        <v>52</v>
      </c>
      <c r="D18" s="2" t="s">
        <v>234</v>
      </c>
      <c r="E18" s="2">
        <f t="shared" si="0"/>
        <v>52</v>
      </c>
      <c r="F18" s="2" t="str">
        <f>VLOOKUP(D18,Sheet2!D:E,2,0)</f>
        <v>cantho3</v>
      </c>
      <c r="G18" s="2" t="str">
        <f t="shared" si="1"/>
        <v>Cần Thơ TV3</v>
      </c>
      <c r="H18" s="2" t="str">
        <f>IFERROR(VLOOKUP(C18,[1]Sheet1!$A:$D,4,0),"")</f>
        <v>https://s2129132.cdn.mytvnet.vn/vimages/1f/f2/2a/af/f0/02/1f2af-pcnthtv3-channel-unkn.png</v>
      </c>
      <c r="I18" s="2" t="str">
        <f>IFERROR(VLOOKUP(C18,[1]Sheet1!$A:$D,2,0),"")</f>
        <v>Cần Thơ TV3</v>
      </c>
      <c r="J18" s="2" t="str">
        <f>IFERROR(VLOOKUP(C18,[1]Sheet1!$A:$D,3,0),"")</f>
        <v>rtp://232.84.3.97:11470</v>
      </c>
      <c r="K18" s="2" t="b">
        <f>D18=I18</f>
        <v>1</v>
      </c>
    </row>
    <row r="19" spans="1:11" ht="12.75" x14ac:dyDescent="0.2">
      <c r="A19" s="2">
        <v>72</v>
      </c>
      <c r="B19" s="2" t="s">
        <v>110</v>
      </c>
      <c r="C19" s="2">
        <v>141</v>
      </c>
      <c r="D19" s="2" t="s">
        <v>53</v>
      </c>
      <c r="E19" s="2">
        <f t="shared" si="0"/>
        <v>141</v>
      </c>
      <c r="F19" s="2" t="str">
        <f>VLOOKUP(D19,Sheet2!D:E,2,0)</f>
        <v>caobang</v>
      </c>
      <c r="G19" s="2" t="str">
        <f t="shared" si="1"/>
        <v>Cao Bằng TV</v>
      </c>
      <c r="H19" s="2" t="str">
        <f>IFERROR(VLOOKUP(C19,[1]Sheet1!$A:$D,4,0),"")</f>
        <v>https://s2129132.cdn.mytvnet.vn/vimages/a0/0d/d4/4e/e8/8d/a0d4e-pcaobngtv-channel-unkn.png</v>
      </c>
      <c r="I19" s="2" t="str">
        <f>IFERROR(VLOOKUP(C19,[1]Sheet1!$A:$D,2,0),"")</f>
        <v>Cao Bằng TV</v>
      </c>
      <c r="J19" s="2" t="str">
        <f>IFERROR(VLOOKUP(C19,[1]Sheet1!$A:$D,3,0),"")</f>
        <v>rtp://232.84.3.202:11134</v>
      </c>
      <c r="K19" s="2" t="b">
        <f>D19=I19</f>
        <v>1</v>
      </c>
    </row>
    <row r="20" spans="1:11" ht="12.75" x14ac:dyDescent="0.2">
      <c r="A20" s="2">
        <v>104</v>
      </c>
      <c r="B20" s="2" t="s">
        <v>152</v>
      </c>
      <c r="C20" s="2">
        <v>592</v>
      </c>
      <c r="D20" s="2" t="s">
        <v>811</v>
      </c>
      <c r="E20" s="2">
        <f t="shared" si="0"/>
        <v>592</v>
      </c>
      <c r="F20" s="2" t="str">
        <f>VLOOKUP(D20,Sheet2!D:E,2,0)</f>
        <v>cartoonhd</v>
      </c>
      <c r="G20" s="2" t="str">
        <f t="shared" si="1"/>
        <v>Cartoon Network</v>
      </c>
      <c r="H20" s="2" t="str">
        <f>IFERROR(VLOOKUP(C20,[1]Sheet1!$A:$D,4,0),"")</f>
        <v>https://s2129132.cdn.mytvnet.vn/vimages/6f/ff/f4/47/73/3b/6ff47-pcartoonnetworkhd-channel-unkn.png</v>
      </c>
      <c r="I20" s="2" t="str">
        <f>IFERROR(VLOOKUP(C20,[1]Sheet1!$A:$D,2,0),"")</f>
        <v>CartoonNetwork HD</v>
      </c>
      <c r="J20" s="2">
        <f>IFERROR(VLOOKUP(C20,[1]Sheet1!$A:$D,3,0),"")</f>
        <v>0</v>
      </c>
      <c r="K20" s="2" t="b">
        <f>D20=I20</f>
        <v>0</v>
      </c>
    </row>
    <row r="21" spans="1:11" ht="12.75" x14ac:dyDescent="0.2">
      <c r="A21" s="2">
        <v>81</v>
      </c>
      <c r="B21" s="2" t="s">
        <v>120</v>
      </c>
      <c r="C21" s="2">
        <v>366</v>
      </c>
      <c r="D21" s="2" t="s">
        <v>807</v>
      </c>
      <c r="E21" s="2">
        <f t="shared" si="0"/>
        <v>366</v>
      </c>
      <c r="F21" s="2" t="str">
        <f>VLOOKUP(D21,Sheet2!D:E,2,0)</f>
        <v>cna</v>
      </c>
      <c r="G21" s="2" t="str">
        <f t="shared" si="1"/>
        <v>CNA</v>
      </c>
      <c r="H21" s="2" t="str">
        <f>IFERROR(VLOOKUP(C21,[1]Sheet1!$A:$D,4,0),"")</f>
        <v>https://s2129132.cdn.mytvnet.vn/vimages/69/91/15/50/06/60/69150-pchannelnewsasiahd-channel-unkn.png</v>
      </c>
      <c r="I21" s="2" t="str">
        <f>IFERROR(VLOOKUP(C21,[1]Sheet1!$A:$D,2,0),"")</f>
        <v>Channel News Asia HD</v>
      </c>
      <c r="J21" s="2" t="str">
        <f>IFERROR(VLOOKUP(C21,[1]Sheet1!$A:$D,3,0),"")</f>
        <v>rtp://232.84.3.155:10540</v>
      </c>
      <c r="K21" s="2" t="b">
        <f>D21=I21</f>
        <v>0</v>
      </c>
    </row>
    <row r="22" spans="1:11" ht="12.75" x14ac:dyDescent="0.2">
      <c r="A22" s="2">
        <v>79</v>
      </c>
      <c r="B22" s="2" t="s">
        <v>117</v>
      </c>
      <c r="C22" s="2">
        <v>523</v>
      </c>
      <c r="D22" s="2" t="s">
        <v>738</v>
      </c>
      <c r="E22" s="2">
        <f t="shared" si="0"/>
        <v>523</v>
      </c>
      <c r="F22" s="2" t="str">
        <f>VLOOKUP(D22,Sheet2!D:E,2,0)</f>
        <v>cinemaworldhd</v>
      </c>
      <c r="G22" s="2" t="str">
        <f t="shared" si="1"/>
        <v>Cinema World</v>
      </c>
      <c r="H22" s="2" t="str">
        <f>IFERROR(VLOOKUP(C22,[1]Sheet1!$A:$D,4,0),"")</f>
        <v>https://s2129132.cdn.mytvnet.vn/vimages/cd/de/e3/3a/a3/33/cde3a-pcinemaworldhd-channel-unkn.png</v>
      </c>
      <c r="I22" s="2" t="str">
        <f>IFERROR(VLOOKUP(C22,[1]Sheet1!$A:$D,2,0),"")</f>
        <v>CINEMAWORLD HD</v>
      </c>
      <c r="J22" s="2" t="str">
        <f>IFERROR(VLOOKUP(C22,[1]Sheet1!$A:$D,3,0),"")</f>
        <v>rtp://232.84.3.50:11752</v>
      </c>
      <c r="K22" s="2" t="b">
        <f>D22=I22</f>
        <v>0</v>
      </c>
    </row>
    <row r="23" spans="1:11" ht="12.75" x14ac:dyDescent="0.2">
      <c r="A23" s="2">
        <v>87</v>
      </c>
      <c r="B23" s="2" t="s">
        <v>126</v>
      </c>
      <c r="C23" s="2">
        <v>358</v>
      </c>
      <c r="D23" s="2" t="s">
        <v>58</v>
      </c>
      <c r="E23" s="2">
        <f t="shared" si="0"/>
        <v>358</v>
      </c>
      <c r="F23" s="2" t="str">
        <f>VLOOKUP(D23,Sheet2!D:E,2,0)</f>
        <v>cnbc</v>
      </c>
      <c r="G23" s="2" t="str">
        <f t="shared" si="1"/>
        <v>CNBC</v>
      </c>
      <c r="H23" s="2" t="str">
        <f>IFERROR(VLOOKUP(C23,[1]Sheet1!$A:$D,4,0),"")</f>
        <v>https://s2129132.cdn.mytvnet.vn/vimages/01/13/3a/a4/4a/a4/013a4-pcnbc-channel-unkn.png</v>
      </c>
      <c r="I23" s="2" t="str">
        <f>IFERROR(VLOOKUP(C23,[1]Sheet1!$A:$D,2,0),"")</f>
        <v>CNBC</v>
      </c>
      <c r="J23" s="2" t="str">
        <f>IFERROR(VLOOKUP(C23,[1]Sheet1!$A:$D,3,0),"")</f>
        <v>rtp://232.84.3.179:10488</v>
      </c>
      <c r="K23" s="2" t="b">
        <f>D23=I23</f>
        <v>1</v>
      </c>
    </row>
    <row r="24" spans="1:11" ht="12.75" x14ac:dyDescent="0.2">
      <c r="A24" s="2">
        <v>105</v>
      </c>
      <c r="B24" s="2" t="s">
        <v>154</v>
      </c>
      <c r="C24" s="2">
        <v>593</v>
      </c>
      <c r="D24" s="2" t="s">
        <v>60</v>
      </c>
      <c r="E24" s="2">
        <f t="shared" si="0"/>
        <v>593</v>
      </c>
      <c r="F24" s="2" t="str">
        <f>VLOOKUP(D24,Sheet2!D:E,2,0)</f>
        <v>cnn</v>
      </c>
      <c r="G24" s="2" t="str">
        <f t="shared" si="1"/>
        <v>CNN</v>
      </c>
      <c r="H24" s="2" t="str">
        <f>IFERROR(VLOOKUP(C24,[1]Sheet1!$A:$D,4,0),"")</f>
        <v>https://s2129132.cdn.mytvnet.vn/vimages/93/3c/c3/3a/ab/be/93c3a-pcnnhd-channel-unkn.png</v>
      </c>
      <c r="I24" s="2" t="str">
        <f>IFERROR(VLOOKUP(C24,[1]Sheet1!$A:$D,2,0),"")</f>
        <v>CNN HD</v>
      </c>
      <c r="J24" s="2" t="str">
        <f>IFERROR(VLOOKUP(C24,[1]Sheet1!$A:$D,3,0),"")</f>
        <v>vstv466</v>
      </c>
      <c r="K24" s="2" t="b">
        <f>D24=I24</f>
        <v>0</v>
      </c>
    </row>
    <row r="25" spans="1:11" ht="12.75" x14ac:dyDescent="0.2">
      <c r="A25" s="2">
        <v>126</v>
      </c>
      <c r="B25" s="2" t="s">
        <v>187</v>
      </c>
      <c r="C25" s="2">
        <v>90</v>
      </c>
      <c r="D25" s="2" t="s">
        <v>62</v>
      </c>
      <c r="E25" s="2">
        <f t="shared" si="0"/>
        <v>90</v>
      </c>
      <c r="F25" s="2" t="str">
        <f>VLOOKUP(D25,Sheet2!D:E,2,0)</f>
        <v>danang1</v>
      </c>
      <c r="G25" s="2" t="str">
        <f t="shared" si="1"/>
        <v>Đà Nẵng 1</v>
      </c>
      <c r="H25" s="2" t="str">
        <f>IFERROR(VLOOKUP(C25,[1]Sheet1!$A:$D,4,0),"")</f>
        <v>https://s2129132.cdn.mytvnet.vn/vimages/41/13/34/4b/ba/aa/4134b-pnng1-channel-unkn.png</v>
      </c>
      <c r="I25" s="2" t="str">
        <f>IFERROR(VLOOKUP(C25,[1]Sheet1!$A:$D,2,0),"")</f>
        <v>Đà Nẵng 1</v>
      </c>
      <c r="J25" s="2" t="str">
        <f>IFERROR(VLOOKUP(C25,[1]Sheet1!$A:$D,3,0),"")</f>
        <v>rtp://232.84.3.29:11878</v>
      </c>
      <c r="K25" s="2" t="b">
        <f>D25=I25</f>
        <v>1</v>
      </c>
    </row>
    <row r="26" spans="1:11" ht="12.75" x14ac:dyDescent="0.2">
      <c r="A26" s="2">
        <v>127</v>
      </c>
      <c r="B26" s="2" t="s">
        <v>189</v>
      </c>
      <c r="C26" s="2">
        <v>60</v>
      </c>
      <c r="D26" s="2" t="s">
        <v>64</v>
      </c>
      <c r="E26" s="2">
        <f t="shared" si="0"/>
        <v>60</v>
      </c>
      <c r="F26" s="2" t="str">
        <f>VLOOKUP(D26,Sheet2!D:E,2,0)</f>
        <v>danang2</v>
      </c>
      <c r="G26" s="2" t="str">
        <f t="shared" si="1"/>
        <v>Đà Nẵng 2</v>
      </c>
      <c r="H26" s="2" t="str">
        <f>IFERROR(VLOOKUP(C26,[1]Sheet1!$A:$D,4,0),"")</f>
        <v>https://s2129132.cdn.mytvnet.vn/vimages/2a/ac/cd/df/f2/2a/2acdf-pnng2-channel-unkn.png</v>
      </c>
      <c r="I26" s="2" t="str">
        <f>IFERROR(VLOOKUP(C26,[1]Sheet1!$A:$D,2,0),"")</f>
        <v>Đà Nẵng 2</v>
      </c>
      <c r="J26" s="2" t="str">
        <f>IFERROR(VLOOKUP(C26,[1]Sheet1!$A:$D,3,0),"")</f>
        <v>rtp://232.84.3.28:11884</v>
      </c>
      <c r="K26" s="2" t="b">
        <f>D26=I26</f>
        <v>1</v>
      </c>
    </row>
    <row r="27" spans="1:11" ht="12.75" x14ac:dyDescent="0.2">
      <c r="A27" s="2">
        <v>128</v>
      </c>
      <c r="B27" s="2" t="s">
        <v>190</v>
      </c>
      <c r="C27" s="2">
        <v>162</v>
      </c>
      <c r="D27" s="2" t="s">
        <v>66</v>
      </c>
      <c r="E27" s="2">
        <f t="shared" si="0"/>
        <v>162</v>
      </c>
      <c r="F27" s="2" t="str">
        <f>VLOOKUP(D27,Sheet2!D:E,2,0)</f>
        <v>daklak</v>
      </c>
      <c r="G27" s="2" t="str">
        <f t="shared" si="1"/>
        <v>Đắk Lắk</v>
      </c>
      <c r="H27" s="2" t="str">
        <f>IFERROR(VLOOKUP(C27,[1]Sheet1!$A:$D,4,0),"")</f>
        <v>https://s2129132.cdn.mytvnet.vn/vimages/58/87/7e/e1/12/2a/587e1-pdaklaktv-channel-unkn.png</v>
      </c>
      <c r="I27" s="2" t="str">
        <f>IFERROR(VLOOKUP(C27,[1]Sheet1!$A:$D,2,0),"")</f>
        <v>DakLak TV</v>
      </c>
      <c r="J27" s="2" t="str">
        <f>IFERROR(VLOOKUP(C27,[1]Sheet1!$A:$D,3,0),"")</f>
        <v>rtp://232.84.3.99:11464</v>
      </c>
      <c r="K27" s="2" t="b">
        <f>D27=I27</f>
        <v>0</v>
      </c>
    </row>
    <row r="28" spans="1:11" ht="12.75" x14ac:dyDescent="0.2">
      <c r="A28" s="2">
        <v>82</v>
      </c>
      <c r="B28" s="2" t="s">
        <v>121</v>
      </c>
      <c r="C28" s="2">
        <v>294</v>
      </c>
      <c r="D28" s="2" t="s">
        <v>739</v>
      </c>
      <c r="E28" s="2">
        <f t="shared" si="0"/>
        <v>294</v>
      </c>
      <c r="F28" s="2" t="str">
        <f>VLOOKUP(D28,Sheet2!D:E,2,0)</f>
        <v>davinci</v>
      </c>
      <c r="G28" s="2" t="str">
        <f t="shared" si="1"/>
        <v>DaVinci</v>
      </c>
      <c r="H28" s="2" t="str">
        <f>IFERROR(VLOOKUP(C28,[1]Sheet1!$A:$D,4,0),"")</f>
        <v>https://s2129132.cdn.mytvnet.vn/vimages/b0/0b/b6/6e/e8/86/b0b6e-pdavincihd-channel-unkn.png</v>
      </c>
      <c r="I28" s="2" t="str">
        <f>IFERROR(VLOOKUP(C28,[1]Sheet1!$A:$D,2,0),"")</f>
        <v>DaVinci HD</v>
      </c>
      <c r="J28" s="2" t="str">
        <f>IFERROR(VLOOKUP(C28,[1]Sheet1!$A:$D,3,0),"")</f>
        <v>rtp://232.84.2.131:9582</v>
      </c>
      <c r="K28" s="2" t="b">
        <f>D28=I28</f>
        <v>0</v>
      </c>
    </row>
    <row r="29" spans="1:11" ht="12.75" x14ac:dyDescent="0.2">
      <c r="A29" s="2">
        <v>121</v>
      </c>
      <c r="B29" s="2" t="s">
        <v>179</v>
      </c>
      <c r="C29" s="2">
        <v>158</v>
      </c>
      <c r="D29" s="2" t="s">
        <v>70</v>
      </c>
      <c r="E29" s="2">
        <f t="shared" si="0"/>
        <v>158</v>
      </c>
      <c r="F29" s="2" t="str">
        <f>VLOOKUP(D29,Sheet2!D:E,2,0)</f>
        <v>dienbien</v>
      </c>
      <c r="G29" s="2" t="str">
        <f t="shared" si="1"/>
        <v>Điện Biên</v>
      </c>
      <c r="H29" s="2" t="str">
        <f>IFERROR(VLOOKUP(C29,[1]Sheet1!$A:$D,4,0),"")</f>
        <v>https://s2129132.cdn.mytvnet.vn/vimages/18/8b/bd/d3/30/0a/18bd3-pinbintv-channel-unkn.png</v>
      </c>
      <c r="I29" s="2" t="str">
        <f>IFERROR(VLOOKUP(C29,[1]Sheet1!$A:$D,2,0),"")</f>
        <v>Điện Biên TV</v>
      </c>
      <c r="J29" s="2" t="str">
        <f>IFERROR(VLOOKUP(C29,[1]Sheet1!$A:$D,3,0),"")</f>
        <v>rtp://232.84.3.32:11860</v>
      </c>
      <c r="K29" s="2" t="b">
        <f>D29=I29</f>
        <v>0</v>
      </c>
    </row>
    <row r="30" spans="1:11" ht="12.75" x14ac:dyDescent="0.2">
      <c r="A30" s="2">
        <v>106</v>
      </c>
      <c r="B30" s="2" t="s">
        <v>155</v>
      </c>
      <c r="C30" s="2">
        <v>594</v>
      </c>
      <c r="D30" s="2" t="s">
        <v>740</v>
      </c>
      <c r="E30" s="2">
        <f t="shared" si="0"/>
        <v>594</v>
      </c>
      <c r="F30" s="2" t="str">
        <f>VLOOKUP(D30,Sheet2!D:E,2,0)</f>
        <v>discoveryhd</v>
      </c>
      <c r="G30" s="2" t="str">
        <f t="shared" si="1"/>
        <v>Discovery</v>
      </c>
      <c r="H30" s="2" t="str">
        <f>IFERROR(VLOOKUP(C30,[1]Sheet1!$A:$D,4,0),"")</f>
        <v>https://s2129132.cdn.mytvnet.vn/vimages/3c/cb/b3/37/74/49/3cb37-pdiscoveryhd-channel-unkn.png</v>
      </c>
      <c r="I30" s="2" t="str">
        <f>IFERROR(VLOOKUP(C30,[1]Sheet1!$A:$D,2,0),"")</f>
        <v>Discovery(HD)</v>
      </c>
      <c r="J30" s="2">
        <f>IFERROR(VLOOKUP(C30,[1]Sheet1!$A:$D,3,0),"")</f>
        <v>0</v>
      </c>
      <c r="K30" s="2" t="b">
        <f>D30=I30</f>
        <v>0</v>
      </c>
    </row>
    <row r="31" spans="1:11" ht="12.75" x14ac:dyDescent="0.2">
      <c r="A31" s="2">
        <v>119</v>
      </c>
      <c r="B31" s="2" t="s">
        <v>177</v>
      </c>
      <c r="C31" s="2">
        <v>739</v>
      </c>
      <c r="D31" s="2" t="s">
        <v>741</v>
      </c>
      <c r="E31" s="2">
        <f t="shared" si="0"/>
        <v>739</v>
      </c>
      <c r="F31" s="2" t="str">
        <f>VLOOKUP(D31,Sheet2!D:E,2,0)</f>
        <v>dmax</v>
      </c>
      <c r="G31" s="2" t="str">
        <f t="shared" si="1"/>
        <v>DMAX</v>
      </c>
      <c r="H31" s="2" t="str">
        <f>IFERROR(VLOOKUP(C31,[1]Sheet1!$A:$D,4,0),"")</f>
        <v>https://s2129132.cdn.mytvnet.vn/vimages/be/ed/de/e9/92/2a/bede9-pdmaxhd-channel-unkn.png</v>
      </c>
      <c r="I31" s="2" t="str">
        <f>IFERROR(VLOOKUP(C31,[1]Sheet1!$A:$D,2,0),"")</f>
        <v>DMAX (HD)</v>
      </c>
      <c r="J31" s="2" t="str">
        <f>IFERROR(VLOOKUP(C31,[1]Sheet1!$A:$D,3,0),"")</f>
        <v>rtp:// 232.84.1.1:7980</v>
      </c>
      <c r="K31" s="2" t="b">
        <f>D31=I31</f>
        <v>0</v>
      </c>
    </row>
    <row r="32" spans="1:11" ht="12.75" x14ac:dyDescent="0.2">
      <c r="A32" s="2">
        <v>131</v>
      </c>
      <c r="B32" s="2" t="s">
        <v>193</v>
      </c>
      <c r="C32" s="2">
        <v>404</v>
      </c>
      <c r="D32" s="2" t="s">
        <v>74</v>
      </c>
      <c r="E32" s="2">
        <f t="shared" si="0"/>
        <v>404</v>
      </c>
      <c r="F32" s="2" t="str">
        <f>VLOOKUP(D32,Sheet2!D:E,2,0)</f>
        <v>dongnai1</v>
      </c>
      <c r="G32" s="2" t="str">
        <f t="shared" si="1"/>
        <v>Đồng Nai 1</v>
      </c>
      <c r="H32" s="2" t="str">
        <f>IFERROR(VLOOKUP(C32,[1]Sheet1!$A:$D,4,0),"")</f>
        <v>https://s2129132.cdn.mytvnet.vn/vimages/fc/c0/0c/c8/8a/ae/fc0c8-pngnai1hd-channel-unkn.png</v>
      </c>
      <c r="I32" s="2" t="str">
        <f>IFERROR(VLOOKUP(C32,[1]Sheet1!$A:$D,2,0),"")</f>
        <v>Đồng Nai 1 HD</v>
      </c>
      <c r="J32" s="2" t="str">
        <f>IFERROR(VLOOKUP(C32,[1]Sheet1!$A:$D,3,0),"")</f>
        <v>rtp://232.84.3.112:10762</v>
      </c>
      <c r="K32" s="2" t="b">
        <f>D32=I32</f>
        <v>0</v>
      </c>
    </row>
    <row r="33" spans="1:11" ht="12.75" x14ac:dyDescent="0.2">
      <c r="A33" s="2">
        <v>130</v>
      </c>
      <c r="B33" s="2" t="s">
        <v>192</v>
      </c>
      <c r="C33" s="2">
        <v>95</v>
      </c>
      <c r="D33" s="2" t="s">
        <v>76</v>
      </c>
      <c r="E33" s="2">
        <f t="shared" si="0"/>
        <v>95</v>
      </c>
      <c r="F33" s="2" t="str">
        <f>VLOOKUP(D33,Sheet2!D:E,2,0)</f>
        <v>dongnai2</v>
      </c>
      <c r="G33" s="2" t="str">
        <f t="shared" si="1"/>
        <v>Đồng Nai 2</v>
      </c>
      <c r="H33" s="2" t="str">
        <f>IFERROR(VLOOKUP(C33,[1]Sheet1!$A:$D,4,0),"")</f>
        <v>https://s2129132.cdn.mytvnet.vn/vimages/a7/7f/f9/97/7e/e7/a7f97-pngnai2-channel-unkn.png</v>
      </c>
      <c r="I33" s="2" t="str">
        <f>IFERROR(VLOOKUP(C33,[1]Sheet1!$A:$D,2,0),"")</f>
        <v>Đồng Nai 2</v>
      </c>
      <c r="J33" s="2" t="str">
        <f>IFERROR(VLOOKUP(C33,[1]Sheet1!$A:$D,3,0),"")</f>
        <v>rtp://232.84.3.24:11908</v>
      </c>
      <c r="K33" s="2" t="b">
        <f>D33=I33</f>
        <v>1</v>
      </c>
    </row>
    <row r="34" spans="1:11" ht="12.75" x14ac:dyDescent="0.2">
      <c r="A34" s="2">
        <v>136</v>
      </c>
      <c r="B34" s="2" t="s">
        <v>201</v>
      </c>
      <c r="C34" s="2">
        <v>96</v>
      </c>
      <c r="D34" s="2" t="s">
        <v>742</v>
      </c>
      <c r="E34" s="2">
        <f t="shared" si="0"/>
        <v>96</v>
      </c>
      <c r="F34" s="2" t="str">
        <f>VLOOKUP(D34,Sheet2!D:E,2,0)</f>
        <v>dongthap1</v>
      </c>
      <c r="G34" s="2" t="str">
        <f t="shared" si="1"/>
        <v>Đồng Tháp 1</v>
      </c>
      <c r="H34" s="2" t="str">
        <f>IFERROR(VLOOKUP(C34,[1]Sheet1!$A:$D,4,0),"")</f>
        <v>https://s2129132.cdn.mytvnet.vn/vimages/1a/ab/b5/54/4f/ff/1ab54-pngthptv1-channel-unkn.png</v>
      </c>
      <c r="I34" s="2" t="str">
        <f>IFERROR(VLOOKUP(C34,[1]Sheet1!$A:$D,2,0),"")</f>
        <v>Đồng Tháp TV1</v>
      </c>
      <c r="J34" s="2" t="str">
        <f>IFERROR(VLOOKUP(C34,[1]Sheet1!$A:$D,3,0),"")</f>
        <v>rtp://232.84.3.235:11332</v>
      </c>
      <c r="K34" s="2" t="b">
        <f>D34=I34</f>
        <v>0</v>
      </c>
    </row>
    <row r="35" spans="1:11" ht="12.75" x14ac:dyDescent="0.2">
      <c r="A35" s="2">
        <v>134</v>
      </c>
      <c r="B35" s="2" t="s">
        <v>198</v>
      </c>
      <c r="C35" s="2">
        <v>54</v>
      </c>
      <c r="D35" s="2" t="s">
        <v>743</v>
      </c>
      <c r="E35" s="2">
        <f t="shared" si="0"/>
        <v>54</v>
      </c>
      <c r="F35" s="2" t="str">
        <f>VLOOKUP(D35,Sheet2!D:E,2,0)</f>
        <v>dongthap2</v>
      </c>
      <c r="G35" s="2" t="str">
        <f t="shared" si="1"/>
        <v>Đồng Tháp 2</v>
      </c>
      <c r="H35" s="2" t="str">
        <f>IFERROR(VLOOKUP(C35,[1]Sheet1!$A:$D,4,0),"")</f>
        <v>https://s2129132.cdn.mytvnet.vn/vimages/89/9e/ef/f7/7a/ad/89ef7-pngthptv2-channel-unkn.png</v>
      </c>
      <c r="I35" s="2" t="str">
        <f>IFERROR(VLOOKUP(C35,[1]Sheet1!$A:$D,2,0),"")</f>
        <v>Đồng Tháp TV2</v>
      </c>
      <c r="J35" s="2" t="str">
        <f>IFERROR(VLOOKUP(C35,[1]Sheet1!$A:$D,3,0),"")</f>
        <v>rtp://232.84.3.204:11146</v>
      </c>
      <c r="K35" s="2" t="b">
        <f>D35=I35</f>
        <v>0</v>
      </c>
    </row>
    <row r="36" spans="1:11" ht="12.75" x14ac:dyDescent="0.2">
      <c r="A36" s="2">
        <v>118</v>
      </c>
      <c r="B36" s="2" t="s">
        <v>175</v>
      </c>
      <c r="C36" s="2">
        <v>553</v>
      </c>
      <c r="D36" s="2" t="s">
        <v>744</v>
      </c>
      <c r="E36" s="2">
        <f t="shared" si="0"/>
        <v>553</v>
      </c>
      <c r="F36" s="2" t="str">
        <f>VLOOKUP(D36,Sheet2!D:E,2,0)</f>
        <v>dreamworks</v>
      </c>
      <c r="G36" s="2" t="str">
        <f t="shared" si="1"/>
        <v>DreamWorks</v>
      </c>
      <c r="H36" s="2" t="str">
        <f>IFERROR(VLOOKUP(C36,[1]Sheet1!$A:$D,4,0),"")</f>
        <v>https://s2129132.cdn.mytvnet.vn/vimages/de/eb/ba/a7/7e/ee/deba7-pdreamworkshd-channel-unkn.png</v>
      </c>
      <c r="I36" s="2" t="str">
        <f>IFERROR(VLOOKUP(C36,[1]Sheet1!$A:$D,2,0),"")</f>
        <v>DreamWorks (HD)</v>
      </c>
      <c r="J36" s="2" t="str">
        <f>IFERROR(VLOOKUP(C36,[1]Sheet1!$A:$D,3,0),"")</f>
        <v>rtp://232.84.3.227:11284</v>
      </c>
      <c r="K36" s="2" t="b">
        <f>D36=I36</f>
        <v>0</v>
      </c>
    </row>
    <row r="37" spans="1:11" ht="12.75" x14ac:dyDescent="0.2">
      <c r="A37" s="2">
        <v>76</v>
      </c>
      <c r="B37" s="2" t="s">
        <v>114</v>
      </c>
      <c r="C37" s="2">
        <v>313</v>
      </c>
      <c r="D37" s="2" t="s">
        <v>745</v>
      </c>
      <c r="E37" s="2">
        <f t="shared" si="0"/>
        <v>313</v>
      </c>
      <c r="F37" s="2" t="str">
        <f>VLOOKUP(D37,Sheet2!D:E,2,0)</f>
        <v>dw</v>
      </c>
      <c r="G37" s="2" t="str">
        <f t="shared" si="1"/>
        <v>DW</v>
      </c>
      <c r="H37" s="2" t="str">
        <f>IFERROR(VLOOKUP(C37,[1]Sheet1!$A:$D,4,0),"")</f>
        <v>https://s2129132.cdn.mytvnet.vn/vimages/38/85/5a/aa/a1/1b/385aa-pdwhd-channel-unkn.png</v>
      </c>
      <c r="I37" s="2" t="str">
        <f>IFERROR(VLOOKUP(C37,[1]Sheet1!$A:$D,2,0),"")</f>
        <v>DW-HD</v>
      </c>
      <c r="J37" s="2" t="str">
        <f>IFERROR(VLOOKUP(C37,[1]Sheet1!$A:$D,3,0),"")</f>
        <v>rtp://232.84.3.154:10416</v>
      </c>
      <c r="K37" s="2" t="b">
        <f>D37=I37</f>
        <v>0</v>
      </c>
    </row>
    <row r="38" spans="1:11" ht="12.75" x14ac:dyDescent="0.2">
      <c r="A38" s="2">
        <v>77</v>
      </c>
      <c r="B38" s="2" t="s">
        <v>115</v>
      </c>
      <c r="C38" s="2">
        <v>308</v>
      </c>
      <c r="D38" s="2" t="s">
        <v>746</v>
      </c>
      <c r="E38" s="2">
        <f t="shared" si="0"/>
        <v>308</v>
      </c>
      <c r="F38" s="2" t="str">
        <f>VLOOKUP(D38,Sheet2!D:E,2,0)</f>
        <v>france24eng</v>
      </c>
      <c r="G38" s="2" t="str">
        <f t="shared" si="1"/>
        <v>France 24</v>
      </c>
      <c r="H38" s="2" t="str">
        <f>IFERROR(VLOOKUP(C38,[1]Sheet1!$A:$D,4,0),"")</f>
        <v>https://s2129132.cdn.mytvnet.vn/vimages/b2/26/6b/bc/c6/6d/b26bc-pfrance24-channel-unkn.png</v>
      </c>
      <c r="I38" s="2" t="str">
        <f>IFERROR(VLOOKUP(C38,[1]Sheet1!$A:$D,2,0),"")</f>
        <v>France24</v>
      </c>
      <c r="J38" s="2" t="str">
        <f>IFERROR(VLOOKUP(C38,[1]Sheet1!$A:$D,3,0),"")</f>
        <v>rtp://232.84.3.145:9606</v>
      </c>
      <c r="K38" s="2" t="b">
        <f>D38=I38</f>
        <v>0</v>
      </c>
    </row>
    <row r="39" spans="1:11" ht="12.75" x14ac:dyDescent="0.2">
      <c r="A39" s="2">
        <v>109</v>
      </c>
      <c r="B39" s="2" t="s">
        <v>160</v>
      </c>
      <c r="C39" s="2">
        <v>595</v>
      </c>
      <c r="D39" s="2" t="s">
        <v>748</v>
      </c>
      <c r="E39" s="2">
        <f t="shared" si="0"/>
        <v>595</v>
      </c>
      <c r="F39" s="2" t="str">
        <f>VLOOKUP(D39,Sheet2!D:E,2,0)</f>
        <v>fashionhd</v>
      </c>
      <c r="G39" s="2" t="str">
        <f t="shared" si="1"/>
        <v>Fashion TV</v>
      </c>
      <c r="H39" s="2" t="str">
        <f>IFERROR(VLOOKUP(C39,[1]Sheet1!$A:$D,4,0),"")</f>
        <v>https://s2129132.cdn.mytvnet.vn/vimages/02/29/9b/bd/da/aa/029bd-pftvhd-channel-unkn.png</v>
      </c>
      <c r="I39" s="2" t="str">
        <f>IFERROR(VLOOKUP(C39,[1]Sheet1!$A:$D,2,0),"")</f>
        <v>FTV(HD)</v>
      </c>
      <c r="J39" s="2" t="str">
        <f>IFERROR(VLOOKUP(C39,[1]Sheet1!$A:$D,3,0),"")</f>
        <v>vstv445</v>
      </c>
      <c r="K39" s="2" t="b">
        <f>D39=I39</f>
        <v>0</v>
      </c>
    </row>
    <row r="40" spans="1:11" ht="12.75" x14ac:dyDescent="0.2">
      <c r="A40" s="2">
        <v>144</v>
      </c>
      <c r="B40" s="2" t="s">
        <v>214</v>
      </c>
      <c r="C40" s="2">
        <v>172</v>
      </c>
      <c r="D40" s="2" t="s">
        <v>83</v>
      </c>
      <c r="E40" s="2">
        <f t="shared" si="0"/>
        <v>172</v>
      </c>
      <c r="F40" s="2" t="str">
        <f>VLOOKUP(D40,Sheet2!D:E,2,0)</f>
        <v>gialai</v>
      </c>
      <c r="G40" s="2" t="str">
        <f t="shared" si="1"/>
        <v>Gia Lai</v>
      </c>
      <c r="H40" s="2" t="str">
        <f>IFERROR(VLOOKUP(C40,[1]Sheet1!$A:$D,4,0),"")</f>
        <v>https://s2129132.cdn.mytvnet.vn/vimages/73/3d/da/a2/26/6e/73da2-pgialaitv-channel-unkn.png</v>
      </c>
      <c r="I40" s="2" t="str">
        <f>IFERROR(VLOOKUP(C40,[1]Sheet1!$A:$D,2,0),"")</f>
        <v>Gia Lai TV</v>
      </c>
      <c r="J40" s="2" t="str">
        <f>IFERROR(VLOOKUP(C40,[1]Sheet1!$A:$D,3,0),"")</f>
        <v>rtp://232.84.3.27:11890</v>
      </c>
      <c r="K40" s="2" t="b">
        <f>D40=I40</f>
        <v>0</v>
      </c>
    </row>
    <row r="41" spans="1:11" ht="12.75" x14ac:dyDescent="0.2">
      <c r="A41" s="2">
        <v>91</v>
      </c>
      <c r="B41" s="2" t="s">
        <v>131</v>
      </c>
      <c r="C41" s="2">
        <v>400</v>
      </c>
      <c r="D41" s="2" t="s">
        <v>87</v>
      </c>
      <c r="E41" s="2">
        <f t="shared" si="0"/>
        <v>400</v>
      </c>
      <c r="F41" s="2" t="str">
        <f>VLOOKUP(D41,Sheet2!D:E,2,0)</f>
        <v>hanoi1</v>
      </c>
      <c r="G41" s="2" t="str">
        <f t="shared" si="1"/>
        <v>Hà Nội 1</v>
      </c>
      <c r="H41" s="2" t="str">
        <f>IFERROR(VLOOKUP(C41,[1]Sheet1!$A:$D,4,0),"")</f>
        <v>https://s2129132.cdn.mytvnet.vn/vimages/4a/ab/b7/75/55/55/4ab75-phni1hd-channel-unkn.png</v>
      </c>
      <c r="I41" s="2" t="str">
        <f>IFERROR(VLOOKUP(C41,[1]Sheet1!$A:$D,2,0),"")</f>
        <v>Hà Nội 1  HD</v>
      </c>
      <c r="J41" s="2" t="str">
        <f>IFERROR(VLOOKUP(C41,[1]Sheet1!$A:$D,3,0),"")</f>
        <v>rtp://232.84.3.143:10738</v>
      </c>
      <c r="K41" s="2" t="b">
        <f>D41=I41</f>
        <v>0</v>
      </c>
    </row>
    <row r="42" spans="1:11" ht="12.75" x14ac:dyDescent="0.2">
      <c r="A42" s="2">
        <v>92</v>
      </c>
      <c r="B42" s="2" t="s">
        <v>133</v>
      </c>
      <c r="C42" s="2">
        <v>401</v>
      </c>
      <c r="D42" s="2" t="s">
        <v>89</v>
      </c>
      <c r="E42" s="2">
        <f t="shared" si="0"/>
        <v>401</v>
      </c>
      <c r="F42" s="2" t="str">
        <f>VLOOKUP(D42,Sheet2!D:E,2,0)</f>
        <v>hanoi2</v>
      </c>
      <c r="G42" s="2" t="str">
        <f t="shared" si="1"/>
        <v>Hà Nội 2</v>
      </c>
      <c r="H42" s="2" t="str">
        <f>IFERROR(VLOOKUP(C42,[1]Sheet1!$A:$D,4,0),"")</f>
        <v>https://s2129132.cdn.mytvnet.vn/vimages/f0/0f/f2/28/88/83/f0f28-phni2hd-channel-unkn.png</v>
      </c>
      <c r="I42" s="2" t="str">
        <f>IFERROR(VLOOKUP(C42,[1]Sheet1!$A:$D,2,0),"")</f>
        <v>Hà Nội 2 HD</v>
      </c>
      <c r="J42" s="2" t="str">
        <f>IFERROR(VLOOKUP(C42,[1]Sheet1!$A:$D,3,0),"")</f>
        <v>rtp://232.84.3.137:10744</v>
      </c>
      <c r="K42" s="2" t="b">
        <f>D42=I42</f>
        <v>0</v>
      </c>
    </row>
    <row r="43" spans="1:11" ht="12.75" x14ac:dyDescent="0.2">
      <c r="A43" s="2">
        <v>125</v>
      </c>
      <c r="B43" s="2" t="s">
        <v>186</v>
      </c>
      <c r="C43" s="2">
        <v>405</v>
      </c>
      <c r="D43" s="2" t="s">
        <v>91</v>
      </c>
      <c r="E43" s="2">
        <f t="shared" si="0"/>
        <v>405</v>
      </c>
      <c r="F43" s="2" t="str">
        <f>VLOOKUP(D43,Sheet2!D:E,2,0)</f>
        <v>hatinh</v>
      </c>
      <c r="G43" s="2" t="str">
        <f t="shared" si="1"/>
        <v>Hà Tĩnh</v>
      </c>
      <c r="H43" s="2" t="str">
        <f>IFERROR(VLOOKUP(C43,[1]Sheet1!$A:$D,4,0),"")</f>
        <v>https://s2129132.cdn.mytvnet.vn/vimages/cf/f0/0c/c8/8e/ed/cf0c8-phtnhtvhd-channel-unkn.png</v>
      </c>
      <c r="I43" s="2" t="str">
        <f>IFERROR(VLOOKUP(C43,[1]Sheet1!$A:$D,2,0),"")</f>
        <v>Hà Tĩnh TV HD</v>
      </c>
      <c r="J43" s="2" t="str">
        <f>IFERROR(VLOOKUP(C43,[1]Sheet1!$A:$D,3,0),"")</f>
        <v>rtp://232.84.3.134:10768</v>
      </c>
      <c r="K43" s="2" t="b">
        <f>D43=I43</f>
        <v>0</v>
      </c>
    </row>
    <row r="44" spans="1:11" ht="12.75" x14ac:dyDescent="0.2">
      <c r="A44" s="2">
        <v>86</v>
      </c>
      <c r="B44" s="2" t="s">
        <v>125</v>
      </c>
      <c r="C44" s="2">
        <v>407</v>
      </c>
      <c r="D44" s="2" t="s">
        <v>95</v>
      </c>
      <c r="E44" s="2">
        <f t="shared" si="0"/>
        <v>407</v>
      </c>
      <c r="F44" s="2" t="str">
        <f>VLOOKUP(D44,Sheet2!D:E,2,0)</f>
        <v>haiphong</v>
      </c>
      <c r="G44" s="2" t="str">
        <f t="shared" si="1"/>
        <v>Hải Phòng</v>
      </c>
      <c r="H44" s="2" t="str">
        <f>IFERROR(VLOOKUP(C44,[1]Sheet1!$A:$D,4,0),"")</f>
        <v>https://s2129132.cdn.mytvnet.vn/vimages/a9/9c/c3/35/56/6c/a9c35-phiphngtvhd-channel-unkn.png</v>
      </c>
      <c r="I44" s="2" t="str">
        <f>IFERROR(VLOOKUP(C44,[1]Sheet1!$A:$D,2,0),"")</f>
        <v>Hải Phòng TV HD</v>
      </c>
      <c r="J44" s="2" t="str">
        <f>IFERROR(VLOOKUP(C44,[1]Sheet1!$A:$D,3,0),"")</f>
        <v>rtp://232.84.3.142:10780</v>
      </c>
      <c r="K44" s="2" t="b">
        <f>D44=I44</f>
        <v>0</v>
      </c>
    </row>
    <row r="45" spans="1:11" ht="12.75" x14ac:dyDescent="0.2">
      <c r="A45" s="2">
        <v>40</v>
      </c>
      <c r="B45" s="2" t="s">
        <v>63</v>
      </c>
      <c r="C45" s="2">
        <v>866</v>
      </c>
      <c r="D45" s="2" t="s">
        <v>749</v>
      </c>
      <c r="E45" s="2">
        <f t="shared" si="0"/>
        <v>866</v>
      </c>
      <c r="F45" s="2" t="str">
        <f>VLOOKUP(D45,Sheet2!D:E,2,0)</f>
        <v>hollywoodclassics</v>
      </c>
      <c r="G45" s="2" t="str">
        <f t="shared" si="1"/>
        <v>Hollywood Classics</v>
      </c>
      <c r="H45" s="2" t="str">
        <f>IFERROR(VLOOKUP(C45,[1]Sheet1!$A:$D,4,0),"")</f>
        <v>https://s2129132.cdn.mytvnet.vn/vimages/de/ee/ea/a0/07/7f/deea0-phollywoodclasic-channel-unkn.png</v>
      </c>
      <c r="I45" s="2" t="str">
        <f>IFERROR(VLOOKUP(C45,[1]Sheet1!$A:$D,2,0),"")</f>
        <v>Hollywood Classic</v>
      </c>
      <c r="J45" s="2" t="str">
        <f>IFERROR(VLOOKUP(C45,[1]Sheet1!$A:$D,3,0),"")</f>
        <v>rtp://232.84.1.58:8328</v>
      </c>
      <c r="K45" s="2" t="b">
        <f>D45=I45</f>
        <v>0</v>
      </c>
    </row>
    <row r="46" spans="1:11" ht="12.75" x14ac:dyDescent="0.2">
      <c r="A46" s="2">
        <v>100</v>
      </c>
      <c r="B46" s="2" t="s">
        <v>145</v>
      </c>
      <c r="C46" s="2">
        <v>16</v>
      </c>
      <c r="D46" s="2" t="s">
        <v>750</v>
      </c>
      <c r="E46" s="2">
        <f t="shared" si="0"/>
        <v>16</v>
      </c>
      <c r="F46" s="2" t="str">
        <f>VLOOKUP(D46,Sheet2!D:E,2,0)</f>
        <v>htvcphunuhd</v>
      </c>
      <c r="G46" s="2" t="str">
        <f t="shared" si="1"/>
        <v>HTVC Phụ Nữ</v>
      </c>
      <c r="H46" s="2" t="str">
        <f>IFERROR(VLOOKUP(C46,[1]Sheet1!$A:$D,4,0),"")</f>
        <v>https://s2129132.cdn.mytvnet.vn/vimages/de/ea/ad/d8/86/64/dead8-phtvphnhd-channel-unkn.png</v>
      </c>
      <c r="I46" s="2" t="str">
        <f>IFERROR(VLOOKUP(C46,[1]Sheet1!$A:$D,2,0),"")</f>
        <v>HTV Phụ Nữ (HD)</v>
      </c>
      <c r="J46" s="2" t="str">
        <f>IFERROR(VLOOKUP(C46,[1]Sheet1!$A:$D,3,0),"")</f>
        <v>rtp://232.84.3.51:11746</v>
      </c>
      <c r="K46" s="2" t="b">
        <f>D46=I46</f>
        <v>0</v>
      </c>
    </row>
    <row r="47" spans="1:11" ht="12.75" x14ac:dyDescent="0.2">
      <c r="A47" s="2">
        <v>15</v>
      </c>
      <c r="B47" s="2" t="s">
        <v>28</v>
      </c>
      <c r="C47" s="2">
        <v>18</v>
      </c>
      <c r="D47" s="2" t="s">
        <v>102</v>
      </c>
      <c r="E47" s="2">
        <f t="shared" si="0"/>
        <v>18</v>
      </c>
      <c r="F47" s="2" t="str">
        <f>VLOOKUP(D47,Sheet2!D:E,2,0)</f>
        <v>htvthethaohd</v>
      </c>
      <c r="G47" s="2" t="str">
        <f t="shared" si="1"/>
        <v>HTV Thể thao</v>
      </c>
      <c r="H47" s="2" t="str">
        <f>IFERROR(VLOOKUP(C47,[1]Sheet1!$A:$D,4,0),"")</f>
        <v>https://s2129132.cdn.mytvnet.vn/vimages/69/92/28/83/3b/b0/69283-phtvththao-channel-unkn.png</v>
      </c>
      <c r="I47" s="2" t="str">
        <f>IFERROR(VLOOKUP(C47,[1]Sheet1!$A:$D,2,0),"")</f>
        <v>HTV Thể thao</v>
      </c>
      <c r="J47" s="2" t="str">
        <f>IFERROR(VLOOKUP(C47,[1]Sheet1!$A:$D,3,0),"")</f>
        <v>rtp://232.84.3.88:11524</v>
      </c>
      <c r="K47" s="2" t="b">
        <f>D47=I47</f>
        <v>1</v>
      </c>
    </row>
    <row r="48" spans="1:11" ht="12.75" x14ac:dyDescent="0.2">
      <c r="A48" s="2">
        <v>51</v>
      </c>
      <c r="B48" s="2" t="s">
        <v>79</v>
      </c>
      <c r="C48" s="2">
        <v>300</v>
      </c>
      <c r="D48" s="2" t="s">
        <v>751</v>
      </c>
      <c r="E48" s="2">
        <f t="shared" si="0"/>
        <v>300</v>
      </c>
      <c r="F48" s="2" t="str">
        <f>VLOOKUP(D48,Sheet2!D:E,2,0)</f>
        <v>htvcthuanviet</v>
      </c>
      <c r="G48" s="2" t="str">
        <f t="shared" si="1"/>
        <v>HTVC Thuần Việt</v>
      </c>
      <c r="H48" s="2" t="str">
        <f>IFERROR(VLOOKUP(C48,[1]Sheet1!$A:$D,4,0),"")</f>
        <v>https://s2129132.cdn.mytvnet.vn/vimages/8b/b4/4f/fa/aa/a0/8b4fa-phtvthunvithd-channel-unkn.png</v>
      </c>
      <c r="I48" s="2" t="str">
        <f>IFERROR(VLOOKUP(C48,[1]Sheet1!$A:$D,2,0),"")</f>
        <v>HTV Thuần Việt HD</v>
      </c>
      <c r="J48" s="2" t="str">
        <f>IFERROR(VLOOKUP(C48,[1]Sheet1!$A:$D,3,0),"")</f>
        <v>rtp://232.84.2.134:9600</v>
      </c>
      <c r="K48" s="2" t="b">
        <f>D48=I48</f>
        <v>0</v>
      </c>
    </row>
    <row r="49" spans="1:11" ht="12.75" x14ac:dyDescent="0.2">
      <c r="A49" s="2">
        <v>11</v>
      </c>
      <c r="B49" s="2" t="s">
        <v>21</v>
      </c>
      <c r="C49" s="2">
        <v>7</v>
      </c>
      <c r="D49" s="2" t="s">
        <v>105</v>
      </c>
      <c r="E49" s="2">
        <f t="shared" si="0"/>
        <v>7</v>
      </c>
      <c r="F49" s="2" t="str">
        <f>VLOOKUP(D49,Sheet2!D:E,2,0)</f>
        <v>htv1</v>
      </c>
      <c r="G49" s="2" t="str">
        <f t="shared" si="1"/>
        <v>HTV1</v>
      </c>
      <c r="H49" s="2" t="str">
        <f>IFERROR(VLOOKUP(C49,[1]Sheet1!$A:$D,4,0),"")</f>
        <v>https://s2129132.cdn.mytvnet.vn/vimages/8c/ce/ee/e7/79/98/8cee7-phtv1hd-channel-unkn.png</v>
      </c>
      <c r="I49" s="2" t="str">
        <f>IFERROR(VLOOKUP(C49,[1]Sheet1!$A:$D,2,0),"")</f>
        <v>HTV1 HD</v>
      </c>
      <c r="J49" s="2" t="str">
        <f>IFERROR(VLOOKUP(C49,[1]Sheet1!$A:$D,3,0),"")</f>
        <v>rtp://232.84.3.57:11710</v>
      </c>
      <c r="K49" s="2" t="b">
        <f>D49=I49</f>
        <v>0</v>
      </c>
    </row>
    <row r="50" spans="1:11" ht="12.75" x14ac:dyDescent="0.2">
      <c r="A50" s="2">
        <v>55</v>
      </c>
      <c r="B50" s="2" t="s">
        <v>84</v>
      </c>
      <c r="C50" s="2">
        <v>127</v>
      </c>
      <c r="D50" s="2" t="s">
        <v>752</v>
      </c>
      <c r="E50" s="2">
        <f t="shared" si="0"/>
        <v>127</v>
      </c>
      <c r="F50" s="2" t="str">
        <f>VLOOKUP(D50,Sheet2!D:E,2,0)</f>
        <v>htv2hd</v>
      </c>
      <c r="G50" s="2" t="str">
        <f t="shared" si="1"/>
        <v>HTV2</v>
      </c>
      <c r="H50" s="2" t="str">
        <f>IFERROR(VLOOKUP(C50,[1]Sheet1!$A:$D,4,0),"")</f>
        <v>https://s2129132.cdn.mytvnet.vn/vimages/a0/07/73/39/9e/e6/a0739-phtv2hd-channel-unkn.png</v>
      </c>
      <c r="I50" s="2" t="str">
        <f>IFERROR(VLOOKUP(C50,[1]Sheet1!$A:$D,2,0),"")</f>
        <v>HTV2 HD</v>
      </c>
      <c r="J50" s="2" t="str">
        <f>IFERROR(VLOOKUP(C50,[1]Sheet1!$A:$D,3,0),"")</f>
        <v>rtp://232.84.2.182:9306</v>
      </c>
      <c r="K50" s="2" t="b">
        <f>D50=I50</f>
        <v>0</v>
      </c>
    </row>
    <row r="51" spans="1:11" ht="12.75" x14ac:dyDescent="0.2">
      <c r="A51" s="2">
        <v>53</v>
      </c>
      <c r="B51" s="2" t="s">
        <v>81</v>
      </c>
      <c r="C51" s="2">
        <v>110</v>
      </c>
      <c r="D51" s="2" t="s">
        <v>108</v>
      </c>
      <c r="E51" s="2">
        <f t="shared" si="0"/>
        <v>110</v>
      </c>
      <c r="F51" s="2" t="str">
        <f>VLOOKUP(D51,Sheet2!D:E,2,0)</f>
        <v>htv3</v>
      </c>
      <c r="G51" s="2" t="str">
        <f t="shared" si="1"/>
        <v>HTV3</v>
      </c>
      <c r="H51" s="2" t="str">
        <f>IFERROR(VLOOKUP(C51,[1]Sheet1!$A:$D,4,0),"")</f>
        <v>https://s2129132.cdn.mytvnet.vn/vimages/b4/4c/c3/36/68/86/b4c36-phtv3hd-channel-unkn.png</v>
      </c>
      <c r="I51" s="2" t="str">
        <f>IFERROR(VLOOKUP(C51,[1]Sheet1!$A:$D,2,0),"")</f>
        <v>HTV3 HD</v>
      </c>
      <c r="J51" s="2" t="str">
        <f>IFERROR(VLOOKUP(C51,[1]Sheet1!$A:$D,3,0),"")</f>
        <v>rtp://232.84.3.56:11716</v>
      </c>
      <c r="K51" s="2" t="b">
        <f>D51=I51</f>
        <v>0</v>
      </c>
    </row>
    <row r="52" spans="1:11" ht="12.75" x14ac:dyDescent="0.2">
      <c r="A52" s="2">
        <v>14</v>
      </c>
      <c r="B52" s="2" t="s">
        <v>26</v>
      </c>
      <c r="C52" s="2">
        <v>9</v>
      </c>
      <c r="D52" s="2" t="s">
        <v>242</v>
      </c>
      <c r="E52" s="2">
        <f t="shared" si="0"/>
        <v>9</v>
      </c>
      <c r="F52" s="2" t="str">
        <f>VLOOKUP(D52,Sheet2!D:E,2,0)</f>
        <v>htv4</v>
      </c>
      <c r="G52" s="2" t="str">
        <f t="shared" si="1"/>
        <v>HTV4</v>
      </c>
      <c r="H52" s="2" t="str">
        <f>IFERROR(VLOOKUP(C52,[1]Sheet1!$A:$D,4,0),"")</f>
        <v>https://s2129132.cdn.mytvnet.vn/vimages/63/3d/d7/7f/f9/93/63d7f-phtv4-channel-unkn.png</v>
      </c>
      <c r="I52" s="2" t="str">
        <f>IFERROR(VLOOKUP(C52,[1]Sheet1!$A:$D,2,0),"")</f>
        <v>HTV4</v>
      </c>
      <c r="J52" s="2" t="str">
        <f>IFERROR(VLOOKUP(C52,[1]Sheet1!$A:$D,3,0),"")</f>
        <v>rtp://232.84.3.55:11722</v>
      </c>
      <c r="K52" s="2" t="b">
        <f>D52=I52</f>
        <v>1</v>
      </c>
    </row>
    <row r="53" spans="1:11" ht="12.75" x14ac:dyDescent="0.2">
      <c r="A53" s="2">
        <v>132</v>
      </c>
      <c r="B53" s="2" t="s">
        <v>194</v>
      </c>
      <c r="C53" s="2">
        <v>479</v>
      </c>
      <c r="D53" s="2" t="s">
        <v>244</v>
      </c>
      <c r="E53" s="2">
        <f t="shared" si="0"/>
        <v>479</v>
      </c>
      <c r="F53" s="2" t="str">
        <f>VLOOKUP(D53,Sheet2!D:E,2,0)</f>
        <v>htv5</v>
      </c>
      <c r="G53" s="2" t="str">
        <f t="shared" si="1"/>
        <v>HTV5</v>
      </c>
      <c r="H53" s="2" t="str">
        <f>IFERROR(VLOOKUP(C53,[1]Sheet1!$A:$D,4,0),"")</f>
        <v>https://s2129132.cdn.mytvnet.vn/vimages/5f/f3/37/78/84/4f/5f378-phtv5-channel-unkn.png</v>
      </c>
      <c r="I53" s="2" t="str">
        <f>IFERROR(VLOOKUP(C53,[1]Sheet1!$A:$D,2,0),"")</f>
        <v>HTV5</v>
      </c>
      <c r="J53" s="2" t="str">
        <f>IFERROR(VLOOKUP(C53,[1]Sheet1!$A:$D,3,0),"")</f>
        <v>rtp://232.84.3.199:11116</v>
      </c>
      <c r="K53" s="2" t="b">
        <f>D53=I53</f>
        <v>1</v>
      </c>
    </row>
    <row r="54" spans="1:11" ht="12.75" x14ac:dyDescent="0.2">
      <c r="A54" s="2">
        <v>56</v>
      </c>
      <c r="B54" s="2" t="s">
        <v>85</v>
      </c>
      <c r="C54" s="2">
        <v>128</v>
      </c>
      <c r="D54" s="2" t="s">
        <v>755</v>
      </c>
      <c r="E54" s="2">
        <f t="shared" si="0"/>
        <v>128</v>
      </c>
      <c r="F54" s="2" t="str">
        <f>VLOOKUP(D54,Sheet2!D:E,2,0)</f>
        <v>htv7hd</v>
      </c>
      <c r="G54" s="2" t="str">
        <f t="shared" si="1"/>
        <v>HTV7</v>
      </c>
      <c r="H54" s="2" t="str">
        <f>IFERROR(VLOOKUP(C54,[1]Sheet1!$A:$D,4,0),"")</f>
        <v>https://s2129132.cdn.mytvnet.vn/vimages/65/5a/a5/51/11/13/65a51-phtv7hd-channel-unkn.png</v>
      </c>
      <c r="I54" s="2" t="str">
        <f>IFERROR(VLOOKUP(C54,[1]Sheet1!$A:$D,2,0),"")</f>
        <v>HTV7 HD</v>
      </c>
      <c r="J54" s="2" t="str">
        <f>IFERROR(VLOOKUP(C54,[1]Sheet1!$A:$D,3,0),"")</f>
        <v>rtp://232.84.1.223:9312</v>
      </c>
      <c r="K54" s="2" t="b">
        <f>D54=I54</f>
        <v>0</v>
      </c>
    </row>
    <row r="55" spans="1:11" ht="12.75" x14ac:dyDescent="0.2">
      <c r="A55" s="2">
        <v>57</v>
      </c>
      <c r="B55" s="2" t="s">
        <v>86</v>
      </c>
      <c r="C55" s="2">
        <v>190</v>
      </c>
      <c r="D55" s="2" t="s">
        <v>756</v>
      </c>
      <c r="E55" s="2">
        <f t="shared" si="0"/>
        <v>190</v>
      </c>
      <c r="F55" s="2" t="str">
        <f>VLOOKUP(D55,Sheet2!D:E,2,0)</f>
        <v>htv9hd</v>
      </c>
      <c r="G55" s="2" t="str">
        <f t="shared" si="1"/>
        <v>HTV9</v>
      </c>
      <c r="H55" s="2" t="str">
        <f>IFERROR(VLOOKUP(C55,[1]Sheet1!$A:$D,4,0),"")</f>
        <v>https://s2129132.cdn.mytvnet.vn/vimages/64/4e/ee/ef/fa/a7/64eef-phtv9hd-channel-unkn.png</v>
      </c>
      <c r="I55" s="2" t="str">
        <f>IFERROR(VLOOKUP(C55,[1]Sheet1!$A:$D,2,0),"")</f>
        <v>HTV9 HD</v>
      </c>
      <c r="J55" s="2" t="str">
        <f>IFERROR(VLOOKUP(C55,[1]Sheet1!$A:$D,3,0),"")</f>
        <v>rtp://232.84.1.224:9318</v>
      </c>
      <c r="K55" s="2" t="b">
        <f>D55=I55</f>
        <v>0</v>
      </c>
    </row>
    <row r="56" spans="1:11" ht="12.75" x14ac:dyDescent="0.2">
      <c r="A56" s="2">
        <v>69</v>
      </c>
      <c r="B56" s="2" t="s">
        <v>106</v>
      </c>
      <c r="C56" s="2">
        <v>12</v>
      </c>
      <c r="D56" s="2" t="s">
        <v>757</v>
      </c>
      <c r="E56" s="2">
        <f t="shared" si="0"/>
        <v>12</v>
      </c>
      <c r="F56" s="2" t="str">
        <f>VLOOKUP(D56,Sheet2!D:E,2,0)</f>
        <v>htvccanhachd</v>
      </c>
      <c r="G56" s="2" t="str">
        <f t="shared" si="1"/>
        <v>HTVC Ca Nhạc</v>
      </c>
      <c r="H56" s="2" t="str">
        <f>IFERROR(VLOOKUP(C56,[1]Sheet1!$A:$D,4,0),"")</f>
        <v>https://s2129132.cdn.mytvnet.vn/vimages/b8/8b/bd/da/ae/eb/b8bda-phtvccanhchd-channel-unkn.png</v>
      </c>
      <c r="I56" s="2" t="str">
        <f>IFERROR(VLOOKUP(C56,[1]Sheet1!$A:$D,2,0),"")</f>
        <v>HTVC Ca Nhạc (HD)</v>
      </c>
      <c r="J56" s="2" t="str">
        <f>IFERROR(VLOOKUP(C56,[1]Sheet1!$A:$D,3,0),"")</f>
        <v>rtp://232.84.3.54:11728</v>
      </c>
      <c r="K56" s="2" t="b">
        <f>D56=I56</f>
        <v>0</v>
      </c>
    </row>
    <row r="57" spans="1:11" ht="12.75" x14ac:dyDescent="0.2">
      <c r="A57" s="2">
        <v>80</v>
      </c>
      <c r="B57" s="2" t="s">
        <v>119</v>
      </c>
      <c r="C57" s="2">
        <v>13</v>
      </c>
      <c r="D57" s="2" t="s">
        <v>758</v>
      </c>
      <c r="E57" s="2">
        <f t="shared" si="0"/>
        <v>13</v>
      </c>
      <c r="F57" s="2" t="str">
        <f>VLOOKUP(D57,Sheet2!D:E,2,0)</f>
        <v>htvcdulichhd</v>
      </c>
      <c r="G57" s="2" t="str">
        <f t="shared" si="1"/>
        <v>HTVC Du Lịch và Cuộc Sống</v>
      </c>
      <c r="H57" s="2" t="str">
        <f>IFERROR(VLOOKUP(C57,[1]Sheet1!$A:$D,4,0),"")</f>
        <v>https://s2129132.cdn.mytvnet.vn/vimages/8d/d4/4a/a5/5f/fb/8d4a5-phtvcdulchcucsnghd-channel-unkn.png</v>
      </c>
      <c r="I57" s="2" t="str">
        <f>IFERROR(VLOOKUP(C57,[1]Sheet1!$A:$D,2,0),"")</f>
        <v>HTVC Du Lịch Cuộc Sống (HD)</v>
      </c>
      <c r="J57" s="2" t="str">
        <f>IFERROR(VLOOKUP(C57,[1]Sheet1!$A:$D,3,0),"")</f>
        <v>rtp://232.84.3.53:11734</v>
      </c>
      <c r="K57" s="2" t="b">
        <f>D57=I57</f>
        <v>0</v>
      </c>
    </row>
    <row r="58" spans="1:11" ht="12.75" x14ac:dyDescent="0.2">
      <c r="A58" s="2">
        <v>48</v>
      </c>
      <c r="B58" s="2" t="s">
        <v>75</v>
      </c>
      <c r="C58" s="2">
        <v>14</v>
      </c>
      <c r="D58" s="2" t="s">
        <v>759</v>
      </c>
      <c r="E58" s="2">
        <f t="shared" si="0"/>
        <v>14</v>
      </c>
      <c r="F58" s="2" t="str">
        <f>VLOOKUP(D58,Sheet2!D:E,2,0)</f>
        <v>htvcgiadinhhd</v>
      </c>
      <c r="G58" s="2" t="str">
        <f t="shared" si="1"/>
        <v>HTVC Gia Đình</v>
      </c>
      <c r="H58" s="2" t="str">
        <f>IFERROR(VLOOKUP(C58,[1]Sheet1!$A:$D,4,0),"")</f>
        <v>https://s2129132.cdn.mytvnet.vn/vimages/ba/a1/1c/c4/4a/a9/ba1c4-phtvcgianhhd-channel-unkn.png</v>
      </c>
      <c r="I58" s="2" t="str">
        <f>IFERROR(VLOOKUP(C58,[1]Sheet1!$A:$D,2,0),"")</f>
        <v>HTVC Gia Đình (HD)</v>
      </c>
      <c r="J58" s="2" t="str">
        <f>IFERROR(VLOOKUP(C58,[1]Sheet1!$A:$D,3,0),"")</f>
        <v>rtp://232.84.3.52:11740</v>
      </c>
      <c r="K58" s="2" t="b">
        <f>D58=I58</f>
        <v>0</v>
      </c>
    </row>
    <row r="59" spans="1:11" ht="12.75" x14ac:dyDescent="0.2">
      <c r="A59" s="2">
        <v>52</v>
      </c>
      <c r="B59" s="2" t="s">
        <v>80</v>
      </c>
      <c r="C59" s="2">
        <v>302</v>
      </c>
      <c r="D59" s="2" t="s">
        <v>760</v>
      </c>
      <c r="E59" s="2">
        <f t="shared" si="0"/>
        <v>302</v>
      </c>
      <c r="F59" s="2" t="str">
        <f>VLOOKUP(D59,Sheet2!D:E,2,0)</f>
        <v>htvcphimhd</v>
      </c>
      <c r="G59" s="2" t="str">
        <f t="shared" si="1"/>
        <v>HTVC Phim</v>
      </c>
      <c r="H59" s="2" t="str">
        <f>IFERROR(VLOOKUP(C59,[1]Sheet1!$A:$D,4,0),"")</f>
        <v>https://s2129132.cdn.mytvnet.vn/vimages/0f/f5/59/92/2f/f6/0f592-phtvcphimhd-channel-unkn.png</v>
      </c>
      <c r="I59" s="2" t="str">
        <f>IFERROR(VLOOKUP(C59,[1]Sheet1!$A:$D,2,0),"")</f>
        <v>HTVC Phim HD</v>
      </c>
      <c r="J59" s="2" t="str">
        <f>IFERROR(VLOOKUP(C59,[1]Sheet1!$A:$D,3,0),"")</f>
        <v>rtp://232.84.3.118:9594</v>
      </c>
      <c r="K59" s="2" t="b">
        <f>D59=I59</f>
        <v>0</v>
      </c>
    </row>
    <row r="60" spans="1:11" ht="12.75" x14ac:dyDescent="0.2">
      <c r="A60" s="2">
        <v>88</v>
      </c>
      <c r="B60" s="2" t="s">
        <v>127</v>
      </c>
      <c r="C60" s="2">
        <v>384</v>
      </c>
      <c r="D60" s="2" t="s">
        <v>761</v>
      </c>
      <c r="E60" s="2">
        <f t="shared" si="0"/>
        <v>384</v>
      </c>
      <c r="F60" s="2" t="str">
        <f>VLOOKUP(D60,Sheet2!D:E,2,0)</f>
        <v>htvcplushd</v>
      </c>
      <c r="G60" s="2" t="str">
        <f t="shared" si="1"/>
        <v>HTVC Plus</v>
      </c>
      <c r="H60" s="2" t="str">
        <f>IFERROR(VLOOKUP(C60,[1]Sheet1!$A:$D,4,0),"")</f>
        <v>https://s2129132.cdn.mytvnet.vn/vimages/f0/0a/a3/31/1f/f3/f0a31-phtvcplushd-channel-unkn.png</v>
      </c>
      <c r="I60" s="2" t="str">
        <f>IFERROR(VLOOKUP(C60,[1]Sheet1!$A:$D,2,0),"")</f>
        <v>HTVC Plus HD</v>
      </c>
      <c r="J60" s="2" t="str">
        <f>IFERROR(VLOOKUP(C60,[1]Sheet1!$A:$D,3,0),"")</f>
        <v>rtp://232.84.3.245:11392</v>
      </c>
      <c r="K60" s="2" t="b">
        <f>D60=I60</f>
        <v>0</v>
      </c>
    </row>
    <row r="61" spans="1:11" ht="12.75" x14ac:dyDescent="0.2">
      <c r="A61" s="2">
        <v>141</v>
      </c>
      <c r="B61" s="2" t="s">
        <v>210</v>
      </c>
      <c r="C61" s="2">
        <v>168</v>
      </c>
      <c r="D61" s="2" t="s">
        <v>762</v>
      </c>
      <c r="E61" s="2">
        <f t="shared" si="0"/>
        <v>168</v>
      </c>
      <c r="F61" s="2" t="str">
        <f>VLOOKUP(D61,Sheet2!D:E,2,0)</f>
        <v>hue</v>
      </c>
      <c r="G61" s="2" t="str">
        <f t="shared" si="1"/>
        <v>Huế</v>
      </c>
      <c r="H61" s="2" t="str">
        <f>IFERROR(VLOOKUP(C61,[1]Sheet1!$A:$D,4,0),"")</f>
        <v>https://s2129132.cdn.mytvnet.vn/vimages/cf/f6/63/3e/e7/70/cf63e-phutv-channel-unkn.png</v>
      </c>
      <c r="I61" s="2" t="str">
        <f>IFERROR(VLOOKUP(C61,[1]Sheet1!$A:$D,2,0),"")</f>
        <v>Huế TV</v>
      </c>
      <c r="J61" s="2" t="str">
        <f>IFERROR(VLOOKUP(C61,[1]Sheet1!$A:$D,3,0),"")</f>
        <v>rtp://232.84.3.34:11848</v>
      </c>
      <c r="K61" s="2" t="b">
        <f>D61=I61</f>
        <v>0</v>
      </c>
    </row>
    <row r="62" spans="1:11" ht="12.75" x14ac:dyDescent="0.2">
      <c r="A62" s="2">
        <v>149</v>
      </c>
      <c r="B62" s="2" t="s">
        <v>223</v>
      </c>
      <c r="C62" s="2">
        <v>408</v>
      </c>
      <c r="D62" s="2" t="s">
        <v>118</v>
      </c>
      <c r="E62" s="2">
        <f t="shared" si="0"/>
        <v>408</v>
      </c>
      <c r="F62" s="2" t="str">
        <f>VLOOKUP(D62,Sheet2!D:E,2,0)</f>
        <v>hungyen</v>
      </c>
      <c r="G62" s="2" t="str">
        <f t="shared" si="1"/>
        <v>Hưng Yên</v>
      </c>
      <c r="H62" s="2" t="str">
        <f>IFERROR(VLOOKUP(C62,[1]Sheet1!$A:$D,4,0),"")</f>
        <v>https://s2129132.cdn.mytvnet.vn/vimages/11/14/40/0e/e5/54/1140e-phngyntvhd-channel-unkn.png</v>
      </c>
      <c r="I62" s="2" t="str">
        <f>IFERROR(VLOOKUP(C62,[1]Sheet1!$A:$D,2,0),"")</f>
        <v>Hưng Yên TV HD</v>
      </c>
      <c r="J62" s="2" t="str">
        <f>IFERROR(VLOOKUP(C62,[1]Sheet1!$A:$D,3,0),"")</f>
        <v>rtp://232.84.3.110:10786</v>
      </c>
      <c r="K62" s="2" t="b">
        <f>D62=I62</f>
        <v>0</v>
      </c>
    </row>
    <row r="63" spans="1:11" ht="12.75" x14ac:dyDescent="0.2">
      <c r="A63" s="2">
        <v>78</v>
      </c>
      <c r="B63" s="2" t="s">
        <v>116</v>
      </c>
      <c r="C63" s="2">
        <v>306</v>
      </c>
      <c r="D63" s="2" t="s">
        <v>130</v>
      </c>
      <c r="E63" s="2">
        <f t="shared" si="0"/>
        <v>306</v>
      </c>
      <c r="F63" s="2" t="str">
        <f>VLOOKUP(D63,Sheet2!D:E,2,0)</f>
        <v>kbsworld</v>
      </c>
      <c r="G63" s="2" t="str">
        <f t="shared" si="1"/>
        <v>KBS World</v>
      </c>
      <c r="H63" s="2" t="str">
        <f>IFERROR(VLOOKUP(C63,[1]Sheet1!$A:$D,4,0),"")</f>
        <v>https://s2129132.cdn.mytvnet.vn/vimages/82/2f/fb/b6/6d/d7/82fb6-pkbsworld-channel-unkn.png</v>
      </c>
      <c r="I63" s="2" t="str">
        <f>IFERROR(VLOOKUP(C63,[1]Sheet1!$A:$D,2,0),"")</f>
        <v>KBS World</v>
      </c>
      <c r="J63" s="2" t="str">
        <f>IFERROR(VLOOKUP(C63,[1]Sheet1!$A:$D,3,0),"")</f>
        <v>rtp://232.84.2.136:9612</v>
      </c>
      <c r="K63" s="2" t="b">
        <f>D63=I63</f>
        <v>1</v>
      </c>
    </row>
    <row r="64" spans="1:11" ht="12.75" x14ac:dyDescent="0.2">
      <c r="A64" s="2">
        <v>143</v>
      </c>
      <c r="B64" s="2" t="s">
        <v>212</v>
      </c>
      <c r="C64" s="2">
        <v>114</v>
      </c>
      <c r="D64" s="2" t="s">
        <v>132</v>
      </c>
      <c r="E64" s="2">
        <f t="shared" si="0"/>
        <v>114</v>
      </c>
      <c r="F64" s="2" t="str">
        <f>VLOOKUP(D64,Sheet2!D:E,2,0)</f>
        <v>khanhhoa</v>
      </c>
      <c r="G64" s="2" t="str">
        <f t="shared" si="1"/>
        <v>Khánh Hòa</v>
      </c>
      <c r="H64" s="2" t="str">
        <f>IFERROR(VLOOKUP(C64,[1]Sheet1!$A:$D,4,0),"")</f>
        <v>https://s2129132.cdn.mytvnet.vn/vimages/7e/e2/2d/d4/45/56/7e2d4-pkhnhha-channel-unkn.png</v>
      </c>
      <c r="I64" s="2" t="str">
        <f>IFERROR(VLOOKUP(C64,[1]Sheet1!$A:$D,2,0),"")</f>
        <v>Khánh Hòa</v>
      </c>
      <c r="J64" s="2" t="str">
        <f>IFERROR(VLOOKUP(C64,[1]Sheet1!$A:$D,3,0),"")</f>
        <v>rtp://232.84.3.26:11896</v>
      </c>
      <c r="K64" s="2" t="b">
        <f>D64=I64</f>
        <v>1</v>
      </c>
    </row>
    <row r="65" spans="1:11" ht="12.75" x14ac:dyDescent="0.2">
      <c r="A65" s="2">
        <v>147</v>
      </c>
      <c r="B65" s="2" t="s">
        <v>219</v>
      </c>
      <c r="C65" s="2">
        <v>176</v>
      </c>
      <c r="D65" s="2" t="s">
        <v>153</v>
      </c>
      <c r="E65" s="2">
        <f t="shared" si="0"/>
        <v>176</v>
      </c>
      <c r="F65" s="2" t="str">
        <f>VLOOKUP(D65,Sheet2!D:E,2,0)</f>
        <v>khanhhoa1</v>
      </c>
      <c r="G65" s="2" t="str">
        <f t="shared" si="1"/>
        <v>Khánh Hòa 1</v>
      </c>
      <c r="H65" s="2" t="str">
        <f>IFERROR(VLOOKUP(C65,[1]Sheet1!$A:$D,4,0),"")</f>
        <v>https://s2129132.cdn.mytvnet.vn/vimages/a0/0b/bf/fd/d6/6e/a0bfd-pkhnhha1-channel-unkn.png</v>
      </c>
      <c r="I65" s="2" t="str">
        <f>IFERROR(VLOOKUP(C65,[1]Sheet1!$A:$D,2,0),"")</f>
        <v>Khánh Hòa 1</v>
      </c>
      <c r="J65" s="2" t="str">
        <f>IFERROR(VLOOKUP(C65,[1]Sheet1!$A:$D,3,0),"")</f>
        <v>rtp://232.84.3.25:11902</v>
      </c>
      <c r="K65" s="2" t="b">
        <f>D65=I65</f>
        <v>1</v>
      </c>
    </row>
    <row r="66" spans="1:11" ht="12.75" x14ac:dyDescent="0.2">
      <c r="A66" s="2">
        <v>117</v>
      </c>
      <c r="B66" s="2" t="s">
        <v>174</v>
      </c>
      <c r="C66" s="2">
        <v>156</v>
      </c>
      <c r="D66" s="2" t="s">
        <v>137</v>
      </c>
      <c r="E66" s="2">
        <f t="shared" si="0"/>
        <v>156</v>
      </c>
      <c r="F66" s="2" t="str">
        <f>VLOOKUP(D66,Sheet2!D:E,2,0)</f>
        <v>laichau</v>
      </c>
      <c r="G66" s="2" t="str">
        <f t="shared" si="1"/>
        <v>Lai Châu</v>
      </c>
      <c r="H66" s="2" t="str">
        <f>IFERROR(VLOOKUP(C66,[1]Sheet1!$A:$D,4,0),"")</f>
        <v>https://s2129132.cdn.mytvnet.vn/vimages/17/75/5b/b5/54/4f/175b5-plaichutv-channel-unkn.png</v>
      </c>
      <c r="I66" s="2" t="str">
        <f>IFERROR(VLOOKUP(C66,[1]Sheet1!$A:$D,2,0),"")</f>
        <v>Lai Châu TV</v>
      </c>
      <c r="J66" s="2" t="str">
        <f>IFERROR(VLOOKUP(C66,[1]Sheet1!$A:$D,3,0),"")</f>
        <v>rtp://232.84.3.33:11854</v>
      </c>
      <c r="K66" s="2" t="b">
        <f>D66=I66</f>
        <v>0</v>
      </c>
    </row>
    <row r="67" spans="1:11" ht="12.75" x14ac:dyDescent="0.2">
      <c r="A67" s="2">
        <v>129</v>
      </c>
      <c r="B67" s="2" t="s">
        <v>191</v>
      </c>
      <c r="C67" s="2">
        <v>164</v>
      </c>
      <c r="D67" s="2" t="s">
        <v>763</v>
      </c>
      <c r="E67" s="2">
        <f t="shared" ref="E67:E130" si="2">C67</f>
        <v>164</v>
      </c>
      <c r="F67" s="2" t="str">
        <f>VLOOKUP(D67,Sheet2!D:E,2,0)</f>
        <v>lamdong1</v>
      </c>
      <c r="G67" s="2" t="str">
        <f t="shared" ref="G67:G130" si="3">D67</f>
        <v>Lâm Đồng 1</v>
      </c>
      <c r="H67" s="2" t="str">
        <f>IFERROR(VLOOKUP(C67,[1]Sheet1!$A:$D,4,0),"")</f>
        <v>https://s2129132.cdn.mytvnet.vn/vimages/d1/16/6c/c0/0b/bd/d16c0-plmngtv1-channel-unkn.png</v>
      </c>
      <c r="I67" s="2" t="str">
        <f>IFERROR(VLOOKUP(C67,[1]Sheet1!$A:$D,2,0),"")</f>
        <v>Lâm Đồng TV1</v>
      </c>
      <c r="J67" s="2" t="str">
        <f>IFERROR(VLOOKUP(C67,[1]Sheet1!$A:$D,3,0),"")</f>
        <v>rtp://232.84.3.58:11704</v>
      </c>
      <c r="K67" s="2" t="b">
        <f>D67=I67</f>
        <v>0</v>
      </c>
    </row>
    <row r="68" spans="1:11" ht="12.75" x14ac:dyDescent="0.2">
      <c r="A68" s="2">
        <v>148</v>
      </c>
      <c r="B68" s="2" t="s">
        <v>221</v>
      </c>
      <c r="C68" s="2">
        <v>125</v>
      </c>
      <c r="D68" s="2" t="s">
        <v>764</v>
      </c>
      <c r="E68" s="2">
        <f t="shared" si="2"/>
        <v>125</v>
      </c>
      <c r="F68" s="2" t="str">
        <f>VLOOKUP(D68,Sheet2!D:E,2,0)</f>
        <v>lamdong2</v>
      </c>
      <c r="G68" s="2" t="str">
        <f t="shared" si="3"/>
        <v>Lâm Đồng 2</v>
      </c>
      <c r="H68" s="2" t="str">
        <f>IFERROR(VLOOKUP(C68,[1]Sheet1!$A:$D,4,0),"")</f>
        <v>https://s2129132.cdn.mytvnet.vn/vimages/88/85/59/96/63/3d/88596-plmngtv2-channel-unkn.png</v>
      </c>
      <c r="I68" s="2" t="str">
        <f>IFERROR(VLOOKUP(C68,[1]Sheet1!$A:$D,2,0),"")</f>
        <v>Lâm Đồng TV2</v>
      </c>
      <c r="J68" s="2" t="str">
        <f>IFERROR(VLOOKUP(C68,[1]Sheet1!$A:$D,3,0),"")</f>
        <v>rtp://232.84.3.87:11530</v>
      </c>
      <c r="K68" s="2" t="b">
        <f>D68=I68</f>
        <v>0</v>
      </c>
    </row>
    <row r="69" spans="1:11" ht="12.75" x14ac:dyDescent="0.2">
      <c r="A69" s="2">
        <v>73</v>
      </c>
      <c r="B69" s="2" t="s">
        <v>111</v>
      </c>
      <c r="C69" s="2">
        <v>193</v>
      </c>
      <c r="D69" s="2" t="s">
        <v>140</v>
      </c>
      <c r="E69" s="2">
        <f t="shared" si="2"/>
        <v>193</v>
      </c>
      <c r="F69" s="2" t="str">
        <f>VLOOKUP(D69,Sheet2!D:E,2,0)</f>
        <v>langson</v>
      </c>
      <c r="G69" s="2" t="str">
        <f t="shared" si="3"/>
        <v>Lạng Sơn</v>
      </c>
      <c r="H69" s="2" t="str">
        <f>IFERROR(VLOOKUP(C69,[1]Sheet1!$A:$D,4,0),"")</f>
        <v>https://s2129132.cdn.mytvnet.vn/vimages/0a/ab/b3/38/88/8d/0ab38-plngsntvhd-channel-unkn.png</v>
      </c>
      <c r="I69" s="2" t="str">
        <f>IFERROR(VLOOKUP(C69,[1]Sheet1!$A:$D,2,0),"")</f>
        <v>Lạng Sơn TV HD</v>
      </c>
      <c r="J69" s="2" t="str">
        <f>IFERROR(VLOOKUP(C69,[1]Sheet1!$A:$D,3,0),"")</f>
        <v>rtp://232.84.3.203:11140</v>
      </c>
      <c r="K69" s="2" t="b">
        <f>D69=I69</f>
        <v>0</v>
      </c>
    </row>
    <row r="70" spans="1:11" ht="12.75" x14ac:dyDescent="0.2">
      <c r="A70" s="2">
        <v>113</v>
      </c>
      <c r="B70" s="2" t="s">
        <v>168</v>
      </c>
      <c r="C70" s="2">
        <v>116</v>
      </c>
      <c r="D70" s="2" t="s">
        <v>142</v>
      </c>
      <c r="E70" s="2">
        <f t="shared" si="2"/>
        <v>116</v>
      </c>
      <c r="F70" s="2" t="str">
        <f>VLOOKUP(D70,Sheet2!D:E,2,0)</f>
        <v>laocai</v>
      </c>
      <c r="G70" s="2" t="str">
        <f t="shared" si="3"/>
        <v>Lào Cai</v>
      </c>
      <c r="H70" s="2" t="str">
        <f>IFERROR(VLOOKUP(C70,[1]Sheet1!$A:$D,4,0),"")</f>
        <v>https://s2129132.cdn.mytvnet.vn/vimages/e6/64/49/95/59/99/e6495-plocaitv-channel-unkn.png</v>
      </c>
      <c r="I70" s="2" t="str">
        <f>IFERROR(VLOOKUP(C70,[1]Sheet1!$A:$D,2,0),"")</f>
        <v>Lào Cai TV</v>
      </c>
      <c r="J70" s="2" t="str">
        <f>IFERROR(VLOOKUP(C70,[1]Sheet1!$A:$D,3,0),"")</f>
        <v>rtp://232.84.2.93:8718</v>
      </c>
      <c r="K70" s="2" t="b">
        <f>D70=I70</f>
        <v>0</v>
      </c>
    </row>
    <row r="71" spans="1:11" ht="12.75" x14ac:dyDescent="0.2">
      <c r="A71" s="2">
        <v>47</v>
      </c>
      <c r="B71" s="2" t="s">
        <v>73</v>
      </c>
      <c r="C71" s="2">
        <v>69</v>
      </c>
      <c r="D71" s="2" t="s">
        <v>765</v>
      </c>
      <c r="E71" s="2">
        <f t="shared" si="2"/>
        <v>69</v>
      </c>
      <c r="F71" s="2" t="str">
        <f>VLOOKUP(D71,Sheet2!D:E,2,0)</f>
        <v>musicbox</v>
      </c>
      <c r="G71" s="2" t="str">
        <f t="shared" si="3"/>
        <v>Music Box</v>
      </c>
      <c r="H71" s="2" t="str">
        <f>IFERROR(VLOOKUP(C71,[1]Sheet1!$A:$D,4,0),"")</f>
        <v>https://s2129132.cdn.mytvnet.vn/vimages/ab/bd/d3/3e/e6/64/abd3e-pmusicboxhd-channel-unkn.png</v>
      </c>
      <c r="I71" s="2" t="str">
        <f>IFERROR(VLOOKUP(C71,[1]Sheet1!$A:$D,2,0),"")</f>
        <v>Music Box (HD)</v>
      </c>
      <c r="J71" s="2" t="str">
        <f>IFERROR(VLOOKUP(C71,[1]Sheet1!$A:$D,3,0),"")</f>
        <v>rtp://232.84.1.13:8052</v>
      </c>
      <c r="K71" s="2" t="b">
        <f>D71=I71</f>
        <v>0</v>
      </c>
    </row>
    <row r="72" spans="1:11" ht="12.75" x14ac:dyDescent="0.2">
      <c r="A72" s="2">
        <v>124</v>
      </c>
      <c r="B72" s="2" t="s">
        <v>184</v>
      </c>
      <c r="C72" s="2">
        <v>453</v>
      </c>
      <c r="D72" s="2" t="s">
        <v>147</v>
      </c>
      <c r="E72" s="2">
        <f t="shared" si="2"/>
        <v>453</v>
      </c>
      <c r="F72" s="2" t="str">
        <f>VLOOKUP(D72,Sheet2!D:E,2,0)</f>
        <v>nghean</v>
      </c>
      <c r="G72" s="2" t="str">
        <f t="shared" si="3"/>
        <v>Nghệ An</v>
      </c>
      <c r="H72" s="2" t="str">
        <f>IFERROR(VLOOKUP(C72,[1]Sheet1!$A:$D,4,0),"")</f>
        <v>https://s2129132.cdn.mytvnet.vn/vimages/c0/04/40/0b/ba/ad/c040b-pnghanhd-channel-unkn.png</v>
      </c>
      <c r="I72" s="2" t="str">
        <f>IFERROR(VLOOKUP(C72,[1]Sheet1!$A:$D,2,0),"")</f>
        <v>Nghệ An (HD)</v>
      </c>
      <c r="J72" s="2" t="str">
        <f>IFERROR(VLOOKUP(C72,[1]Sheet1!$A:$D,3,0),"")</f>
        <v>rtp://232.84.2.198:10972</v>
      </c>
      <c r="K72" s="2" t="b">
        <f>D72=I72</f>
        <v>0</v>
      </c>
    </row>
    <row r="73" spans="1:11" ht="12.75" x14ac:dyDescent="0.2">
      <c r="A73" s="2">
        <v>39</v>
      </c>
      <c r="B73" s="2" t="s">
        <v>61</v>
      </c>
      <c r="C73" s="2">
        <v>185</v>
      </c>
      <c r="D73" s="2" t="s">
        <v>149</v>
      </c>
      <c r="E73" s="2">
        <f t="shared" si="2"/>
        <v>185</v>
      </c>
      <c r="F73" s="2" t="str">
        <f>VLOOKUP(D73,Sheet2!D:E,2,0)</f>
        <v>nhkworld</v>
      </c>
      <c r="G73" s="2" t="str">
        <f t="shared" si="3"/>
        <v>NHK World</v>
      </c>
      <c r="H73" s="2" t="str">
        <f>IFERROR(VLOOKUP(C73,[1]Sheet1!$A:$D,4,0),"")</f>
        <v>https://s2129132.cdn.mytvnet.vn/vimages/6a/a4/46/6f/f0/0f/6a46f-pnhkworldjapanhd-channel-unkn.png</v>
      </c>
      <c r="I73" s="2" t="str">
        <f>IFERROR(VLOOKUP(C73,[1]Sheet1!$A:$D,2,0),"")</f>
        <v>NHK World Japan HD</v>
      </c>
      <c r="J73" s="2" t="str">
        <f>IFERROR(VLOOKUP(C73,[1]Sheet1!$A:$D,3,0),"")</f>
        <v>rtp://232.84.1.72:8406</v>
      </c>
      <c r="K73" s="2" t="b">
        <f>D73=I73</f>
        <v>0</v>
      </c>
    </row>
    <row r="74" spans="1:11" ht="12.75" x14ac:dyDescent="0.2">
      <c r="A74" s="2">
        <v>122</v>
      </c>
      <c r="B74" s="2" t="s">
        <v>181</v>
      </c>
      <c r="C74" s="2">
        <v>160</v>
      </c>
      <c r="D74" s="2" t="s">
        <v>151</v>
      </c>
      <c r="E74" s="2">
        <f t="shared" si="2"/>
        <v>160</v>
      </c>
      <c r="F74" s="2" t="str">
        <f>VLOOKUP(D74,Sheet2!D:E,2,0)</f>
        <v>ninhbinh</v>
      </c>
      <c r="G74" s="2" t="str">
        <f t="shared" si="3"/>
        <v>Ninh Bình</v>
      </c>
      <c r="H74" s="2" t="str">
        <f>IFERROR(VLOOKUP(C74,[1]Sheet1!$A:$D,4,0),"")</f>
        <v>https://s2129132.cdn.mytvnet.vn/vimages/e9/97/7f/fb/be/e9/e97fb-pninhbnhtv-channel-unkn.png</v>
      </c>
      <c r="I74" s="2" t="str">
        <f>IFERROR(VLOOKUP(C74,[1]Sheet1!$A:$D,2,0),"")</f>
        <v>Ninh Bình TV</v>
      </c>
      <c r="J74" s="2" t="str">
        <f>IFERROR(VLOOKUP(C74,[1]Sheet1!$A:$D,3,0),"")</f>
        <v>rtp://232.84.3.89:11518</v>
      </c>
      <c r="K74" s="2" t="b">
        <f>D74=I74</f>
        <v>0</v>
      </c>
    </row>
    <row r="75" spans="1:11" ht="12.75" x14ac:dyDescent="0.2">
      <c r="A75" s="2">
        <v>64</v>
      </c>
      <c r="B75" s="2" t="s">
        <v>99</v>
      </c>
      <c r="C75" s="2">
        <v>205</v>
      </c>
      <c r="D75" s="2" t="s">
        <v>766</v>
      </c>
      <c r="E75" s="2">
        <f t="shared" si="2"/>
        <v>205</v>
      </c>
      <c r="F75" s="2" t="str">
        <f>VLOOKUP(D75,Sheet2!D:E,2,0)</f>
        <v>onbibi</v>
      </c>
      <c r="G75" s="2" t="str">
        <f t="shared" si="3"/>
        <v>ON Bibi</v>
      </c>
      <c r="H75" s="2" t="str">
        <f>IFERROR(VLOOKUP(C75,[1]Sheet1!$A:$D,4,0),"")</f>
        <v>https://s2129132.cdn.mytvnet.vn/vimages/b4/43/30/0a/ac/cb/b430a-ponbibihd-channel-unkn.png</v>
      </c>
      <c r="I75" s="2" t="str">
        <f>IFERROR(VLOOKUP(C75,[1]Sheet1!$A:$D,2,0),"")</f>
        <v>ON Bibi HD</v>
      </c>
      <c r="J75" s="2" t="str">
        <f>IFERROR(VLOOKUP(C75,[1]Sheet1!$A:$D,3,0),"")</f>
        <v>rtp://232.84.3.217:11224</v>
      </c>
      <c r="K75" s="2" t="b">
        <f>D75=I75</f>
        <v>0</v>
      </c>
    </row>
    <row r="76" spans="1:11" ht="12.75" x14ac:dyDescent="0.2">
      <c r="A76" s="2">
        <v>67</v>
      </c>
      <c r="B76" s="2" t="s">
        <v>103</v>
      </c>
      <c r="C76" s="2">
        <v>204</v>
      </c>
      <c r="D76" s="2" t="s">
        <v>156</v>
      </c>
      <c r="E76" s="2">
        <f t="shared" si="2"/>
        <v>204</v>
      </c>
      <c r="F76" s="2" t="str">
        <f>VLOOKUP(D76,Sheet2!D:E,2,0)</f>
        <v>oncine</v>
      </c>
      <c r="G76" s="2" t="str">
        <f t="shared" si="3"/>
        <v>ON Cine</v>
      </c>
      <c r="H76" s="2" t="str">
        <f>IFERROR(VLOOKUP(C76,[1]Sheet1!$A:$D,4,0),"")</f>
        <v>https://s2129132.cdn.mytvnet.vn/vimages/d5/5f/f5/53/33/33/d5f53-poncinehd-channel-unkn.png</v>
      </c>
      <c r="I76" s="2" t="str">
        <f>IFERROR(VLOOKUP(C76,[1]Sheet1!$A:$D,2,0),"")</f>
        <v>ON Cine HD</v>
      </c>
      <c r="J76" s="2" t="str">
        <f>IFERROR(VLOOKUP(C76,[1]Sheet1!$A:$D,3,0),"")</f>
        <v>rtp://232.84.3.72:11620</v>
      </c>
      <c r="K76" s="2" t="b">
        <f>D76=I76</f>
        <v>0</v>
      </c>
    </row>
    <row r="77" spans="1:11" ht="12.75" x14ac:dyDescent="0.2">
      <c r="A77" s="2">
        <v>61</v>
      </c>
      <c r="B77" s="2" t="s">
        <v>94</v>
      </c>
      <c r="C77" s="2">
        <v>202</v>
      </c>
      <c r="D77" s="2" t="s">
        <v>158</v>
      </c>
      <c r="E77" s="2">
        <f t="shared" si="2"/>
        <v>202</v>
      </c>
      <c r="F77" s="2" t="str">
        <f>VLOOKUP(D77,Sheet2!D:E,2,0)</f>
        <v>onechannel</v>
      </c>
      <c r="G77" s="2" t="str">
        <f t="shared" si="3"/>
        <v>ON E Channel</v>
      </c>
      <c r="H77" s="2" t="str">
        <f>IFERROR(VLOOKUP(C77,[1]Sheet1!$A:$D,4,0),"")</f>
        <v>https://s2129132.cdn.mytvnet.vn/vimages/7a/a9/95/5d/d5/5a/7a95d-ponechannel-channel-unkn.png</v>
      </c>
      <c r="I77" s="2" t="str">
        <f>IFERROR(VLOOKUP(C77,[1]Sheet1!$A:$D,2,0),"")</f>
        <v>ON E Channel</v>
      </c>
      <c r="J77" s="2" t="str">
        <f>IFERROR(VLOOKUP(C77,[1]Sheet1!$A:$D,3,0),"")</f>
        <v>rtp://232.84.3.76:11596</v>
      </c>
      <c r="K77" s="2" t="b">
        <f>D77=I77</f>
        <v>1</v>
      </c>
    </row>
    <row r="78" spans="1:11" ht="12.75" x14ac:dyDescent="0.2">
      <c r="A78" s="2">
        <v>30</v>
      </c>
      <c r="B78" s="2" t="s">
        <v>47</v>
      </c>
      <c r="C78" s="2">
        <v>208</v>
      </c>
      <c r="D78" s="2" t="s">
        <v>767</v>
      </c>
      <c r="E78" s="2">
        <f t="shared" si="2"/>
        <v>208</v>
      </c>
      <c r="F78" s="2" t="str">
        <f>VLOOKUP(D78,Sheet2!D:E,2,0)</f>
        <v>onfootball</v>
      </c>
      <c r="G78" s="2" t="str">
        <f t="shared" si="3"/>
        <v>ON Football</v>
      </c>
      <c r="H78" s="2" t="str">
        <f>IFERROR(VLOOKUP(C78,[1]Sheet1!$A:$D,4,0),"")</f>
        <v>https://s2129132.cdn.mytvnet.vn/vimages/b7/78/8b/b7/7e/e5/b78b7-ponfootballhd-channel-unkn.png</v>
      </c>
      <c r="I78" s="2" t="str">
        <f>IFERROR(VLOOKUP(C78,[1]Sheet1!$A:$D,2,0),"")</f>
        <v>ON Football (HD)</v>
      </c>
      <c r="J78" s="2" t="str">
        <f>IFERROR(VLOOKUP(C78,[1]Sheet1!$A:$D,3,0),"")</f>
        <v>rtp://232.84.1.210:9234</v>
      </c>
      <c r="K78" s="2" t="b">
        <f>D78=I78</f>
        <v>0</v>
      </c>
    </row>
    <row r="79" spans="1:11" ht="12.75" x14ac:dyDescent="0.2">
      <c r="A79" s="2">
        <v>97</v>
      </c>
      <c r="B79" s="2" t="s">
        <v>141</v>
      </c>
      <c r="C79" s="2">
        <v>415</v>
      </c>
      <c r="D79" s="2" t="s">
        <v>161</v>
      </c>
      <c r="E79" s="2">
        <f t="shared" si="2"/>
        <v>415</v>
      </c>
      <c r="F79" s="2" t="str">
        <f>VLOOKUP(D79,Sheet2!D:E,2,0)</f>
        <v>ongolf</v>
      </c>
      <c r="G79" s="2" t="str">
        <f t="shared" si="3"/>
        <v>ON Golf</v>
      </c>
      <c r="H79" s="2" t="str">
        <f>IFERROR(VLOOKUP(C79,[1]Sheet1!$A:$D,4,0),"")</f>
        <v>https://s2129132.cdn.mytvnet.vn/vimages/5a/a1/16/6f/f7/78/5a16f-pongolf-channel-unkn.png</v>
      </c>
      <c r="I79" s="2" t="str">
        <f>IFERROR(VLOOKUP(C79,[1]Sheet1!$A:$D,2,0),"")</f>
        <v>ON Golf</v>
      </c>
      <c r="J79" s="2" t="str">
        <f>IFERROR(VLOOKUP(C79,[1]Sheet1!$A:$D,3,0),"")</f>
        <v>rtp://232.84.2.246:10876</v>
      </c>
      <c r="K79" s="2" t="b">
        <f>D79=I79</f>
        <v>1</v>
      </c>
    </row>
    <row r="80" spans="1:11" ht="12.75" x14ac:dyDescent="0.2">
      <c r="A80" s="2">
        <v>94</v>
      </c>
      <c r="B80" s="2" t="s">
        <v>136</v>
      </c>
      <c r="C80" s="2">
        <v>437</v>
      </c>
      <c r="D80" s="2" t="s">
        <v>163</v>
      </c>
      <c r="E80" s="2">
        <f t="shared" si="2"/>
        <v>437</v>
      </c>
      <c r="F80" s="2" t="str">
        <f>VLOOKUP(D80,Sheet2!D:E,2,0)</f>
        <v>oninfotv</v>
      </c>
      <c r="G80" s="2" t="str">
        <f t="shared" si="3"/>
        <v>ON Info TV</v>
      </c>
      <c r="H80" s="2" t="str">
        <f>IFERROR(VLOOKUP(C80,[1]Sheet1!$A:$D,4,0),"")</f>
        <v>https://s2129132.cdn.mytvnet.vn/vimages/2a/a6/69/95/5a/a2/2a695-poninfotvhd-channel-unkn.png</v>
      </c>
      <c r="I80" s="2" t="str">
        <f>IFERROR(VLOOKUP(C80,[1]Sheet1!$A:$D,2,0),"")</f>
        <v>ON InfoTV HD</v>
      </c>
      <c r="J80" s="2" t="str">
        <f>IFERROR(VLOOKUP(C80,[1]Sheet1!$A:$D,3,0),"")</f>
        <v>rtp://232.84.3.73:11614</v>
      </c>
      <c r="K80" s="2" t="b">
        <f>D80=I80</f>
        <v>0</v>
      </c>
    </row>
    <row r="81" spans="1:11" ht="12.75" x14ac:dyDescent="0.2">
      <c r="A81" s="2">
        <v>107</v>
      </c>
      <c r="B81" s="2" t="s">
        <v>157</v>
      </c>
      <c r="C81" s="2">
        <v>742</v>
      </c>
      <c r="D81" s="2" t="s">
        <v>165</v>
      </c>
      <c r="E81" s="2">
        <f t="shared" si="2"/>
        <v>742</v>
      </c>
      <c r="F81" s="2" t="str">
        <f>VLOOKUP(D81,Sheet2!D:E,2,0)</f>
        <v>onkids</v>
      </c>
      <c r="G81" s="2" t="str">
        <f t="shared" si="3"/>
        <v>ON Kids</v>
      </c>
      <c r="H81" s="2" t="str">
        <f>IFERROR(VLOOKUP(C81,[1]Sheet1!$A:$D,4,0),"")</f>
        <v>https://s2129132.cdn.mytvnet.vn/vimages/57/7e/e3/3d/d3/3b/57e3d-ponkidshd-channel-unkn.png</v>
      </c>
      <c r="I81" s="2" t="str">
        <f>IFERROR(VLOOKUP(C81,[1]Sheet1!$A:$D,2,0),"")</f>
        <v>ON Kids (HD)</v>
      </c>
      <c r="J81" s="2" t="str">
        <f>IFERROR(VLOOKUP(C81,[1]Sheet1!$A:$D,3,0),"")</f>
        <v>rtp://232.84.3.41:11806</v>
      </c>
      <c r="K81" s="2" t="b">
        <f>D81=I81</f>
        <v>0</v>
      </c>
    </row>
    <row r="82" spans="1:11" ht="12.75" x14ac:dyDescent="0.2">
      <c r="A82" s="2">
        <v>108</v>
      </c>
      <c r="B82" s="2" t="s">
        <v>159</v>
      </c>
      <c r="C82" s="2">
        <v>745</v>
      </c>
      <c r="D82" s="2" t="s">
        <v>167</v>
      </c>
      <c r="E82" s="2">
        <f t="shared" si="2"/>
        <v>745</v>
      </c>
      <c r="F82" s="2" t="str">
        <f>VLOOKUP(D82,Sheet2!D:E,2,0)</f>
        <v>onlife</v>
      </c>
      <c r="G82" s="2" t="str">
        <f t="shared" si="3"/>
        <v>ON Life</v>
      </c>
      <c r="H82" s="2" t="str">
        <f>IFERROR(VLOOKUP(C82,[1]Sheet1!$A:$D,4,0),"")</f>
        <v>https://s2129132.cdn.mytvnet.vn/vimages/63/38/88/8e/e2/23/6388e-ponlifehd-channel-unkn.png</v>
      </c>
      <c r="I82" s="2" t="str">
        <f>IFERROR(VLOOKUP(C82,[1]Sheet1!$A:$D,2,0),"")</f>
        <v>ON Life (HD)</v>
      </c>
      <c r="J82" s="2" t="str">
        <f>IFERROR(VLOOKUP(C82,[1]Sheet1!$A:$D,3,0),"")</f>
        <v>rtp://232.84.3.40:11812</v>
      </c>
      <c r="K82" s="2" t="b">
        <f>D82=I82</f>
        <v>0</v>
      </c>
    </row>
    <row r="83" spans="1:11" ht="12.75" x14ac:dyDescent="0.2">
      <c r="A83" s="2">
        <v>93</v>
      </c>
      <c r="B83" s="2" t="s">
        <v>135</v>
      </c>
      <c r="C83" s="2">
        <v>435</v>
      </c>
      <c r="D83" s="2" t="s">
        <v>768</v>
      </c>
      <c r="E83" s="2">
        <f t="shared" si="2"/>
        <v>435</v>
      </c>
      <c r="F83" s="2" t="str">
        <f>VLOOKUP(D83,Sheet2!D:E,2,0)</f>
        <v>onmovies</v>
      </c>
      <c r="G83" s="2" t="str">
        <f t="shared" si="3"/>
        <v>ON MOVIES</v>
      </c>
      <c r="H83" s="2" t="str">
        <f>IFERROR(VLOOKUP(C83,[1]Sheet1!$A:$D,4,0),"")</f>
        <v>https://s2129132.cdn.mytvnet.vn/vimages/e5/5e/ed/df/f8/8e/e5edf-ponmovieshd-channel-unkn.png</v>
      </c>
      <c r="I83" s="2" t="str">
        <f>IFERROR(VLOOKUP(C83,[1]Sheet1!$A:$D,2,0),"")</f>
        <v>ON MOVIES (HD)</v>
      </c>
      <c r="J83" s="2" t="str">
        <f>IFERROR(VLOOKUP(C83,[1]Sheet1!$A:$D,3,0),"")</f>
        <v>rtp://232.84.2.190:10924</v>
      </c>
      <c r="K83" s="2" t="b">
        <f>D83=I83</f>
        <v>0</v>
      </c>
    </row>
    <row r="84" spans="1:11" ht="12.75" x14ac:dyDescent="0.2">
      <c r="A84" s="2">
        <v>95</v>
      </c>
      <c r="B84" s="2" t="s">
        <v>138</v>
      </c>
      <c r="C84" s="2">
        <v>439</v>
      </c>
      <c r="D84" s="2" t="s">
        <v>769</v>
      </c>
      <c r="E84" s="2">
        <f t="shared" si="2"/>
        <v>439</v>
      </c>
      <c r="F84" s="2" t="str">
        <f>VLOOKUP(D84,Sheet2!D:E,2,0)</f>
        <v>onmusic</v>
      </c>
      <c r="G84" s="2" t="str">
        <f t="shared" si="3"/>
        <v>ON MUSIC</v>
      </c>
      <c r="H84" s="2" t="str">
        <f>IFERROR(VLOOKUP(C84,[1]Sheet1!$A:$D,4,0),"")</f>
        <v>https://s2129132.cdn.mytvnet.vn/vimages/2d/df/fc/c3/35/5d/2dfc3-ponmusichd-channel-unkn.png</v>
      </c>
      <c r="I84" s="2" t="str">
        <f>IFERROR(VLOOKUP(C84,[1]Sheet1!$A:$D,2,0),"")</f>
        <v>ON MUSIC HD</v>
      </c>
      <c r="J84" s="2" t="str">
        <f>IFERROR(VLOOKUP(C84,[1]Sheet1!$A:$D,3,0),"")</f>
        <v>rtp://232.84.3.70:11632</v>
      </c>
      <c r="K84" s="2" t="b">
        <f>D84=I84</f>
        <v>0</v>
      </c>
    </row>
    <row r="85" spans="1:11" ht="12.75" x14ac:dyDescent="0.2">
      <c r="A85" s="2">
        <v>54</v>
      </c>
      <c r="B85" s="2" t="s">
        <v>82</v>
      </c>
      <c r="C85" s="2">
        <v>27</v>
      </c>
      <c r="D85" s="2" t="s">
        <v>171</v>
      </c>
      <c r="E85" s="2">
        <f t="shared" si="2"/>
        <v>27</v>
      </c>
      <c r="F85" s="2" t="str">
        <f>VLOOKUP(D85,Sheet2!D:E,2,0)</f>
        <v>ono2tv</v>
      </c>
      <c r="G85" s="2" t="str">
        <f t="shared" si="3"/>
        <v>ON O2TV</v>
      </c>
      <c r="H85" s="2" t="str">
        <f>IFERROR(VLOOKUP(C85,[1]Sheet1!$A:$D,4,0),"")</f>
        <v>https://s2129132.cdn.mytvnet.vn/vimages/85/52/20/05/5f/fc/85205-pono2tvhd-channel-unkn.png</v>
      </c>
      <c r="I85" s="2" t="str">
        <f>IFERROR(VLOOKUP(C85,[1]Sheet1!$A:$D,2,0),"")</f>
        <v>ON O2TV HD</v>
      </c>
      <c r="J85" s="2" t="str">
        <f>IFERROR(VLOOKUP(C85,[1]Sheet1!$A:$D,3,0),"")</f>
        <v>rtp://232.84.3.74:11608</v>
      </c>
      <c r="K85" s="2" t="b">
        <f>D85=I85</f>
        <v>0</v>
      </c>
    </row>
    <row r="86" spans="1:11" ht="12.75" x14ac:dyDescent="0.2">
      <c r="A86" s="2">
        <v>59</v>
      </c>
      <c r="B86" s="2" t="s">
        <v>90</v>
      </c>
      <c r="C86" s="2">
        <v>198</v>
      </c>
      <c r="D86" s="2" t="s">
        <v>173</v>
      </c>
      <c r="E86" s="2">
        <f t="shared" si="2"/>
        <v>198</v>
      </c>
      <c r="F86" s="2" t="str">
        <f>VLOOKUP(D86,Sheet2!D:E,2,0)</f>
        <v>onphimviet</v>
      </c>
      <c r="G86" s="2" t="str">
        <f t="shared" si="3"/>
        <v>ON Phim Việt</v>
      </c>
      <c r="H86" s="2" t="str">
        <f>IFERROR(VLOOKUP(C86,[1]Sheet1!$A:$D,4,0),"")</f>
        <v>https://s2129132.cdn.mytvnet.vn/vimages/3d/d2/24/49/9e/ed/3d249-ponphimvithd-channel-unkn.png</v>
      </c>
      <c r="I86" s="2" t="str">
        <f>IFERROR(VLOOKUP(C86,[1]Sheet1!$A:$D,2,0),"")</f>
        <v>ON Phim Việt HD</v>
      </c>
      <c r="J86" s="2" t="str">
        <f>IFERROR(VLOOKUP(C86,[1]Sheet1!$A:$D,3,0),"")</f>
        <v>rtp://232.84.3.77:11590</v>
      </c>
      <c r="K86" s="2" t="b">
        <f>D86=I86</f>
        <v>0</v>
      </c>
    </row>
    <row r="87" spans="1:11" ht="12.75" x14ac:dyDescent="0.2">
      <c r="A87" s="2">
        <v>29</v>
      </c>
      <c r="B87" s="2" t="s">
        <v>45</v>
      </c>
      <c r="C87" s="2">
        <v>200</v>
      </c>
      <c r="D87" s="2" t="s">
        <v>770</v>
      </c>
      <c r="E87" s="2">
        <f t="shared" si="2"/>
        <v>200</v>
      </c>
      <c r="F87" s="2" t="str">
        <f>VLOOKUP(D87,Sheet2!D:E,2,0)</f>
        <v>onsports</v>
      </c>
      <c r="G87" s="2" t="str">
        <f t="shared" si="3"/>
        <v>ON Sports</v>
      </c>
      <c r="H87" s="2" t="str">
        <f>IFERROR(VLOOKUP(C87,[1]Sheet1!$A:$D,4,0),"")</f>
        <v>https://s2129132.cdn.mytvnet.vn/vimages/e9/9e/e5/54/40/01/e9e54-ponsportshd-channel-unkn.png</v>
      </c>
      <c r="I87" s="2" t="str">
        <f>IFERROR(VLOOKUP(C87,[1]Sheet1!$A:$D,2,0),"")</f>
        <v>ON Sports (HD)</v>
      </c>
      <c r="J87" s="2" t="str">
        <f>IFERROR(VLOOKUP(C87,[1]Sheet1!$A:$D,3,0),"")</f>
        <v>rtp://232.84.1.207:9216</v>
      </c>
      <c r="K87" s="2" t="b">
        <f>D87=I87</f>
        <v>0</v>
      </c>
    </row>
    <row r="88" spans="1:11" ht="12.75" x14ac:dyDescent="0.2">
      <c r="A88" s="2">
        <v>96</v>
      </c>
      <c r="B88" s="2" t="s">
        <v>139</v>
      </c>
      <c r="C88" s="2">
        <v>441</v>
      </c>
      <c r="D88" s="2" t="s">
        <v>176</v>
      </c>
      <c r="E88" s="2">
        <f t="shared" si="2"/>
        <v>441</v>
      </c>
      <c r="F88" s="2" t="str">
        <f>VLOOKUP(D88,Sheet2!D:E,2,0)</f>
        <v>onsportsnews</v>
      </c>
      <c r="G88" s="2" t="str">
        <f t="shared" si="3"/>
        <v>ON Sports News</v>
      </c>
      <c r="H88" s="2" t="str">
        <f>IFERROR(VLOOKUP(C88,[1]Sheet1!$A:$D,4,0),"")</f>
        <v>https://s2129132.cdn.mytvnet.vn/vimages/6b/b3/32/2f/f7/72/6b32f-ponsportsnews-channel-unkn.png</v>
      </c>
      <c r="I88" s="2" t="str">
        <f>IFERROR(VLOOKUP(C88,[1]Sheet1!$A:$D,2,0),"")</f>
        <v>ON Sports News</v>
      </c>
      <c r="J88" s="2" t="str">
        <f>IFERROR(VLOOKUP(C88,[1]Sheet1!$A:$D,3,0),"")</f>
        <v>rtp://232.84.2.193:10942</v>
      </c>
      <c r="K88" s="2" t="b">
        <f>D88=I88</f>
        <v>1</v>
      </c>
    </row>
    <row r="89" spans="1:11" ht="12.75" x14ac:dyDescent="0.2">
      <c r="A89" s="2">
        <v>62</v>
      </c>
      <c r="B89" s="2" t="s">
        <v>96</v>
      </c>
      <c r="C89" s="2">
        <v>203</v>
      </c>
      <c r="D89" s="2" t="s">
        <v>771</v>
      </c>
      <c r="E89" s="2">
        <f t="shared" si="2"/>
        <v>203</v>
      </c>
      <c r="F89" s="2" t="str">
        <f>VLOOKUP(D89,Sheet2!D:E,2,0)</f>
        <v>onsportsplus</v>
      </c>
      <c r="G89" s="2" t="str">
        <f t="shared" si="3"/>
        <v>On Sports+</v>
      </c>
      <c r="H89" s="2" t="str">
        <f>IFERROR(VLOOKUP(C89,[1]Sheet1!$A:$D,4,0),"")</f>
        <v>https://s2129132.cdn.mytvnet.vn/vimages/f6/68/85/5b/b0/02/f685b-ponsportshd-channel-unkn.png</v>
      </c>
      <c r="I89" s="2" t="str">
        <f>IFERROR(VLOOKUP(C89,[1]Sheet1!$A:$D,2,0),"")</f>
        <v>On Sports+ HD</v>
      </c>
      <c r="J89" s="2" t="str">
        <f>IFERROR(VLOOKUP(C89,[1]Sheet1!$A:$D,3,0),"")</f>
        <v>rtp://232.84.3.75:11602</v>
      </c>
      <c r="K89" s="2" t="b">
        <f>D89=I89</f>
        <v>0</v>
      </c>
    </row>
    <row r="90" spans="1:11" ht="12.75" x14ac:dyDescent="0.2">
      <c r="A90" s="2">
        <v>65</v>
      </c>
      <c r="B90" s="2" t="s">
        <v>100</v>
      </c>
      <c r="C90" s="2">
        <v>206</v>
      </c>
      <c r="D90" s="2" t="s">
        <v>772</v>
      </c>
      <c r="E90" s="2">
        <f t="shared" si="2"/>
        <v>206</v>
      </c>
      <c r="F90" s="2" t="str">
        <f>VLOOKUP(D90,Sheet2!D:E,2,0)</f>
        <v>onstyle</v>
      </c>
      <c r="G90" s="2" t="str">
        <f t="shared" si="3"/>
        <v>ON Style TV</v>
      </c>
      <c r="H90" s="2" t="str">
        <f>IFERROR(VLOOKUP(C90,[1]Sheet1!$A:$D,4,0),"")</f>
        <v>https://s2129132.cdn.mytvnet.vn/vimages/6d/df/f4/4e/ee/e9/6df4e-ponstyletvhd-channel-unkn.png</v>
      </c>
      <c r="I90" s="2" t="str">
        <f>IFERROR(VLOOKUP(C90,[1]Sheet1!$A:$D,2,0),"")</f>
        <v>ON Style TV HD</v>
      </c>
      <c r="J90" s="2" t="str">
        <f>IFERROR(VLOOKUP(C90,[1]Sheet1!$A:$D,3,0),"")</f>
        <v>rtp://232.84.3.71:11626</v>
      </c>
      <c r="K90" s="2" t="b">
        <f>D90=I90</f>
        <v>0</v>
      </c>
    </row>
    <row r="91" spans="1:11" ht="12.75" x14ac:dyDescent="0.2">
      <c r="A91" s="2">
        <v>66</v>
      </c>
      <c r="B91" s="2" t="s">
        <v>101</v>
      </c>
      <c r="C91" s="2">
        <v>209</v>
      </c>
      <c r="D91" s="2" t="s">
        <v>180</v>
      </c>
      <c r="E91" s="2">
        <f t="shared" si="2"/>
        <v>209</v>
      </c>
      <c r="F91" s="2" t="str">
        <f>VLOOKUP(D91,Sheet2!D:E,2,0)</f>
        <v>ontrending</v>
      </c>
      <c r="G91" s="2" t="str">
        <f t="shared" si="3"/>
        <v>ON Trending</v>
      </c>
      <c r="H91" s="2" t="str">
        <f>IFERROR(VLOOKUP(C91,[1]Sheet1!$A:$D,4,0),"")</f>
        <v>https://s2129132.cdn.mytvnet.vn/vimages/05/5e/eb/b9/95/55/05eb9-pontrendinghd-channel-unkn.png</v>
      </c>
      <c r="I91" s="2" t="str">
        <f>IFERROR(VLOOKUP(C91,[1]Sheet1!$A:$D,2,0),"")</f>
        <v>ON Trending HD</v>
      </c>
      <c r="J91" s="2" t="str">
        <f>IFERROR(VLOOKUP(C91,[1]Sheet1!$A:$D,3,0),"")</f>
        <v>rtp://232.84.3.69:11638</v>
      </c>
      <c r="K91" s="2" t="b">
        <f>D91=I91</f>
        <v>0</v>
      </c>
    </row>
    <row r="92" spans="1:11" ht="12.75" x14ac:dyDescent="0.2">
      <c r="A92" s="2">
        <v>75</v>
      </c>
      <c r="B92" s="2" t="s">
        <v>113</v>
      </c>
      <c r="C92" s="2">
        <v>241</v>
      </c>
      <c r="D92" s="2" t="s">
        <v>773</v>
      </c>
      <c r="E92" s="2">
        <f t="shared" si="2"/>
        <v>241</v>
      </c>
      <c r="F92" s="2" t="str">
        <f>VLOOKUP(D92,Sheet2!D:E,2,0)</f>
        <v>onvfamily</v>
      </c>
      <c r="G92" s="2" t="str">
        <f t="shared" si="3"/>
        <v>ON Vfamily</v>
      </c>
      <c r="H92" s="2" t="str">
        <f>IFERROR(VLOOKUP(C92,[1]Sheet1!$A:$D,4,0),"")</f>
        <v>https://s2129132.cdn.mytvnet.vn/vimages/27/7a/a7/71/1f/f0/27a71-ponvfamilyhd-channel-unkn.png</v>
      </c>
      <c r="I92" s="2" t="str">
        <f>IFERROR(VLOOKUP(C92,[1]Sheet1!$A:$D,2,0),"")</f>
        <v>ON Vfamily HD</v>
      </c>
      <c r="J92" s="2" t="str">
        <f>IFERROR(VLOOKUP(C92,[1]Sheet1!$A:$D,3,0),"")</f>
        <v>rtp://232.84.3.68:11644</v>
      </c>
      <c r="K92" s="2" t="b">
        <f>D92=I92</f>
        <v>0</v>
      </c>
    </row>
    <row r="93" spans="1:11" ht="12.75" x14ac:dyDescent="0.2">
      <c r="A93" s="2">
        <v>60</v>
      </c>
      <c r="B93" s="2" t="s">
        <v>92</v>
      </c>
      <c r="C93" s="2">
        <v>201</v>
      </c>
      <c r="D93" s="2" t="s">
        <v>183</v>
      </c>
      <c r="E93" s="2">
        <f t="shared" si="2"/>
        <v>201</v>
      </c>
      <c r="F93" s="2" t="str">
        <f>VLOOKUP(D93,Sheet2!D:E,2,0)</f>
        <v>onviedramas</v>
      </c>
      <c r="G93" s="2" t="str">
        <f t="shared" si="3"/>
        <v>ON Vie Dramas</v>
      </c>
      <c r="H93" s="2" t="str">
        <f>IFERROR(VLOOKUP(C93,[1]Sheet1!$A:$D,4,0),"")</f>
        <v>https://s2129132.cdn.mytvnet.vn/vimages/00/09/98/87/7c/c3/00987-ponviedramas-channel-unkn.png</v>
      </c>
      <c r="I93" s="2" t="str">
        <f>IFERROR(VLOOKUP(C93,[1]Sheet1!$A:$D,2,0),"")</f>
        <v>ON Vie Dramas</v>
      </c>
      <c r="J93" s="2" t="str">
        <f>IFERROR(VLOOKUP(C93,[1]Sheet1!$A:$D,3,0),"")</f>
        <v>rtp://232.84.3.218:11230</v>
      </c>
      <c r="K93" s="2" t="b">
        <f>D93=I93</f>
        <v>1</v>
      </c>
    </row>
    <row r="94" spans="1:11" ht="12.75" x14ac:dyDescent="0.2">
      <c r="A94" s="2">
        <v>58</v>
      </c>
      <c r="B94" s="2" t="s">
        <v>88</v>
      </c>
      <c r="C94" s="2">
        <v>197</v>
      </c>
      <c r="D94" s="2" t="s">
        <v>185</v>
      </c>
      <c r="E94" s="2">
        <f t="shared" si="2"/>
        <v>197</v>
      </c>
      <c r="F94" s="2" t="str">
        <f>VLOOKUP(D94,Sheet2!D:E,2,0)</f>
        <v>onviegiaitri</v>
      </c>
      <c r="G94" s="2" t="str">
        <f t="shared" si="3"/>
        <v>ON Vie Giải trí</v>
      </c>
      <c r="H94" s="2" t="str">
        <f>IFERROR(VLOOKUP(C94,[1]Sheet1!$A:$D,4,0),"")</f>
        <v>https://s2129132.cdn.mytvnet.vn/vimages/0c/c1/12/24/4c/cd/0c124-ponviegiitr-channel-unkn.png</v>
      </c>
      <c r="I94" s="2" t="str">
        <f>IFERROR(VLOOKUP(C94,[1]Sheet1!$A:$D,2,0),"")</f>
        <v>ON Vie Giải trí</v>
      </c>
      <c r="J94" s="2" t="str">
        <f>IFERROR(VLOOKUP(C94,[1]Sheet1!$A:$D,3,0),"")</f>
        <v>rtp://232.84.3.78:11584</v>
      </c>
      <c r="K94" s="2" t="b">
        <f>D94=I94</f>
        <v>1</v>
      </c>
    </row>
    <row r="95" spans="1:11" ht="12.75" x14ac:dyDescent="0.2">
      <c r="A95" s="2">
        <v>70</v>
      </c>
      <c r="B95" s="2" t="s">
        <v>107</v>
      </c>
      <c r="C95" s="2">
        <v>191</v>
      </c>
      <c r="D95" s="2" t="s">
        <v>774</v>
      </c>
      <c r="E95" s="2">
        <f t="shared" si="2"/>
        <v>191</v>
      </c>
      <c r="F95" s="2" t="str">
        <f>VLOOKUP(D95,Sheet2!D:E,2,0)</f>
        <v>outdoorhd</v>
      </c>
      <c r="G95" s="2" t="str">
        <f t="shared" si="3"/>
        <v>Outdoor</v>
      </c>
      <c r="H95" s="2" t="str">
        <f>IFERROR(VLOOKUP(C95,[1]Sheet1!$A:$D,4,0),"")</f>
        <v>https://s2129132.cdn.mytvnet.vn/vimages/58/84/45/5f/f8/8c/5845f-poutdoorhd-channel-unkn.png</v>
      </c>
      <c r="I95" s="2" t="str">
        <f>IFERROR(VLOOKUP(C95,[1]Sheet1!$A:$D,2,0),"")</f>
        <v>Outdoor HD</v>
      </c>
      <c r="J95" s="2" t="str">
        <f>IFERROR(VLOOKUP(C95,[1]Sheet1!$A:$D,3,0),"")</f>
        <v>rtp://232.84.1.107:10218</v>
      </c>
      <c r="K95" s="2" t="b">
        <f>D95=I95</f>
        <v>0</v>
      </c>
    </row>
    <row r="96" spans="1:11" ht="12.75" x14ac:dyDescent="0.2">
      <c r="A96" s="2">
        <v>116</v>
      </c>
      <c r="B96" s="2" t="s">
        <v>172</v>
      </c>
      <c r="C96" s="2">
        <v>410</v>
      </c>
      <c r="D96" s="2" t="s">
        <v>188</v>
      </c>
      <c r="E96" s="2">
        <f t="shared" si="2"/>
        <v>410</v>
      </c>
      <c r="F96" s="2" t="str">
        <f>VLOOKUP(D96,Sheet2!D:E,2,0)</f>
        <v>phutho</v>
      </c>
      <c r="G96" s="2" t="str">
        <f t="shared" si="3"/>
        <v>Phú Thọ</v>
      </c>
      <c r="H96" s="2" t="str">
        <f>IFERROR(VLOOKUP(C96,[1]Sheet1!$A:$D,4,0),"")</f>
        <v>https://s2129132.cdn.mytvnet.vn/vimages/3d/d4/46/6a/a3/32/3d46a-pphthtvhd-channel-unkn.png</v>
      </c>
      <c r="I96" s="2" t="str">
        <f>IFERROR(VLOOKUP(C96,[1]Sheet1!$A:$D,2,0),"")</f>
        <v>Phú Thọ TV (HD)</v>
      </c>
      <c r="J96" s="2" t="str">
        <f>IFERROR(VLOOKUP(C96,[1]Sheet1!$A:$D,3,0),"")</f>
        <v>rtp://232.84.3.148:10792</v>
      </c>
      <c r="K96" s="2" t="b">
        <f>D96=I96</f>
        <v>0</v>
      </c>
    </row>
    <row r="97" spans="1:11" ht="12.75" x14ac:dyDescent="0.2">
      <c r="A97" s="2">
        <v>74</v>
      </c>
      <c r="B97" s="2" t="s">
        <v>112</v>
      </c>
      <c r="C97" s="2">
        <v>227</v>
      </c>
      <c r="D97" s="2" t="s">
        <v>776</v>
      </c>
      <c r="E97" s="2">
        <f t="shared" si="2"/>
        <v>227</v>
      </c>
      <c r="F97" s="2" t="str">
        <f>VLOOKUP(D97,Sheet2!D:E,2,0)</f>
        <v>qpvnhd</v>
      </c>
      <c r="G97" s="2" t="str">
        <f t="shared" si="3"/>
        <v>QPVN</v>
      </c>
      <c r="H97" s="2" t="str">
        <f>IFERROR(VLOOKUP(C97,[1]Sheet1!$A:$D,4,0),"")</f>
        <v>https://s2129132.cdn.mytvnet.vn/vimages/ef/f6/64/46/6b/be/ef646-pqpvnhd-channel-unkn.png</v>
      </c>
      <c r="I97" s="2" t="str">
        <f>IFERROR(VLOOKUP(C97,[1]Sheet1!$A:$D,2,0),"")</f>
        <v>QPVN (HD)</v>
      </c>
      <c r="J97" s="2" t="str">
        <f>IFERROR(VLOOKUP(C97,[1]Sheet1!$A:$D,3,0),"")</f>
        <v>rtp://232.84.3.127:10816</v>
      </c>
      <c r="K97" s="2" t="b">
        <f>D97=I97</f>
        <v>0</v>
      </c>
    </row>
    <row r="98" spans="1:11" ht="12.75" x14ac:dyDescent="0.2">
      <c r="A98" s="2">
        <v>114</v>
      </c>
      <c r="B98" s="2" t="s">
        <v>169</v>
      </c>
      <c r="C98" s="2">
        <v>455</v>
      </c>
      <c r="D98" s="2" t="s">
        <v>195</v>
      </c>
      <c r="E98" s="2">
        <f t="shared" si="2"/>
        <v>455</v>
      </c>
      <c r="F98" s="2" t="str">
        <f>VLOOKUP(D98,Sheet2!D:E,2,0)</f>
        <v>quangninh1</v>
      </c>
      <c r="G98" s="2" t="str">
        <f t="shared" si="3"/>
        <v>Quảng Ninh 1</v>
      </c>
      <c r="H98" s="2" t="str">
        <f>IFERROR(VLOOKUP(C98,[1]Sheet1!$A:$D,4,0),"")</f>
        <v>https://s2129132.cdn.mytvnet.vn/vimages/b5/51/11/10/0d/d1/b5110-pqungninh1qtv1hd-channel-unkn.png</v>
      </c>
      <c r="I98" s="2" t="str">
        <f>IFERROR(VLOOKUP(C98,[1]Sheet1!$A:$D,2,0),"")</f>
        <v>Quảng Ninh1 (QTV1) HD</v>
      </c>
      <c r="J98" s="2" t="str">
        <f>IFERROR(VLOOKUP(C98,[1]Sheet1!$A:$D,3,0),"")</f>
        <v>rtp://232.84.1.248:10978</v>
      </c>
      <c r="K98" s="2" t="b">
        <f>D98=I98</f>
        <v>0</v>
      </c>
    </row>
    <row r="99" spans="1:11" ht="12.75" x14ac:dyDescent="0.2">
      <c r="A99" s="2">
        <v>115</v>
      </c>
      <c r="B99" s="2" t="s">
        <v>170</v>
      </c>
      <c r="C99" s="2">
        <v>457</v>
      </c>
      <c r="D99" s="2" t="s">
        <v>197</v>
      </c>
      <c r="E99" s="2">
        <f t="shared" si="2"/>
        <v>457</v>
      </c>
      <c r="F99" s="2" t="str">
        <f>VLOOKUP(D99,Sheet2!D:E,2,0)</f>
        <v>quangninh3</v>
      </c>
      <c r="G99" s="2" t="str">
        <f t="shared" si="3"/>
        <v>Quảng Ninh 3</v>
      </c>
      <c r="H99" s="2" t="str">
        <f>IFERROR(VLOOKUP(C99,[1]Sheet1!$A:$D,4,0),"")</f>
        <v>https://s2129132.cdn.mytvnet.vn/vimages/c5/56/63/32/2a/a0/c5632-pqungninh3qtv3hd-channel-unkn.png</v>
      </c>
      <c r="I99" s="2" t="str">
        <f>IFERROR(VLOOKUP(C99,[1]Sheet1!$A:$D,2,0),"")</f>
        <v>Quảng Ninh3 (QTV3) HD</v>
      </c>
      <c r="J99" s="2" t="str">
        <f>IFERROR(VLOOKUP(C99,[1]Sheet1!$A:$D,3,0),"")</f>
        <v>rtp://232.84.1.249:10984</v>
      </c>
      <c r="K99" s="2" t="b">
        <f>D99=I99</f>
        <v>0</v>
      </c>
    </row>
    <row r="100" spans="1:11" ht="12.75" x14ac:dyDescent="0.2">
      <c r="A100" s="2">
        <v>140</v>
      </c>
      <c r="B100" s="2" t="s">
        <v>208</v>
      </c>
      <c r="C100" s="2">
        <v>121</v>
      </c>
      <c r="D100" s="2" t="s">
        <v>199</v>
      </c>
      <c r="E100" s="2">
        <f t="shared" si="2"/>
        <v>121</v>
      </c>
      <c r="F100" s="2" t="str">
        <f>VLOOKUP(D100,Sheet2!D:E,2,0)</f>
        <v>quangtri</v>
      </c>
      <c r="G100" s="2" t="str">
        <f t="shared" si="3"/>
        <v>Quảng Trị</v>
      </c>
      <c r="H100" s="2" t="str">
        <f>IFERROR(VLOOKUP(C100,[1]Sheet1!$A:$D,4,0),"")</f>
        <v>https://s2129132.cdn.mytvnet.vn/vimages/1d/d1/11/12/20/0b/1d112-pqungtrhd-channel-unkn.png</v>
      </c>
      <c r="I100" s="2" t="str">
        <f>IFERROR(VLOOKUP(C100,[1]Sheet1!$A:$D,2,0),"")</f>
        <v>Quảng Trị HD</v>
      </c>
      <c r="J100" s="2" t="str">
        <f>IFERROR(VLOOKUP(C100,[1]Sheet1!$A:$D,3,0),"")</f>
        <v>rtp://232.84.3.46:11776</v>
      </c>
      <c r="K100" s="2" t="b">
        <f>D100=I100</f>
        <v>0</v>
      </c>
    </row>
    <row r="101" spans="1:11" ht="12.75" x14ac:dyDescent="0.2">
      <c r="A101" s="2">
        <v>142</v>
      </c>
      <c r="B101" s="2" t="s">
        <v>211</v>
      </c>
      <c r="C101" s="2">
        <v>409</v>
      </c>
      <c r="D101" s="2" t="s">
        <v>777</v>
      </c>
      <c r="E101" s="2">
        <f t="shared" si="2"/>
        <v>409</v>
      </c>
      <c r="F101" s="2" t="str">
        <f>VLOOKUP(D101,Sheet2!D:E,2,0)</f>
        <v>quangngai</v>
      </c>
      <c r="G101" s="2" t="str">
        <f t="shared" si="3"/>
        <v>Quảng Ngãi 1</v>
      </c>
      <c r="H101" s="2" t="str">
        <f>IFERROR(VLOOKUP(C101,[1]Sheet1!$A:$D,4,0),"")</f>
        <v>https://s2129132.cdn.mytvnet.vn/vimages/a9/9b/b0/09/98/8f/a9b09-pquangngaitv1-channel-unkn.png</v>
      </c>
      <c r="I101" s="2" t="str">
        <f>IFERROR(VLOOKUP(C101,[1]Sheet1!$A:$D,2,0),"")</f>
        <v>QuangNgaiTV1</v>
      </c>
      <c r="J101" s="2" t="str">
        <f>IFERROR(VLOOKUP(C101,[1]Sheet1!$A:$D,3,0),"")</f>
        <v>rtp://232.84.3.126:10798</v>
      </c>
      <c r="K101" s="2" t="b">
        <f>D101=I101</f>
        <v>0</v>
      </c>
    </row>
    <row r="102" spans="1:11" ht="12.75" x14ac:dyDescent="0.2">
      <c r="A102" s="2">
        <v>145</v>
      </c>
      <c r="B102" s="2" t="s">
        <v>215</v>
      </c>
      <c r="C102" s="2">
        <v>173</v>
      </c>
      <c r="D102" s="2" t="s">
        <v>778</v>
      </c>
      <c r="E102" s="2">
        <f t="shared" si="2"/>
        <v>173</v>
      </c>
      <c r="F102" s="2" t="str">
        <f>VLOOKUP(D102,Sheet2!D:E,2,0)</f>
        <v>quangngai2</v>
      </c>
      <c r="G102" s="2" t="str">
        <f t="shared" si="3"/>
        <v>Quảng Ngãi 2</v>
      </c>
      <c r="H102" s="2" t="str">
        <f>IFERROR(VLOOKUP(C102,[1]Sheet1!$A:$D,4,0),"")</f>
        <v>https://s2129132.cdn.mytvnet.vn/vimages/f9/9b/b7/7e/e1/13/f9b7e-pquangngaitv2-channel-unkn.png</v>
      </c>
      <c r="I102" s="2" t="str">
        <f>IFERROR(VLOOKUP(C102,[1]Sheet1!$A:$D,2,0),"")</f>
        <v>QuangNgaiTV2</v>
      </c>
      <c r="J102" s="2" t="str">
        <f>IFERROR(VLOOKUP(C102,[1]Sheet1!$A:$D,3,0),"")</f>
        <v>rtp://232.84.3.80:11572</v>
      </c>
      <c r="K102" s="2" t="b">
        <f>D102=I102</f>
        <v>0</v>
      </c>
    </row>
    <row r="103" spans="1:11" ht="12.75" x14ac:dyDescent="0.2">
      <c r="A103" s="2">
        <v>12</v>
      </c>
      <c r="B103" s="2" t="s">
        <v>23</v>
      </c>
      <c r="C103" s="2">
        <v>766</v>
      </c>
      <c r="D103" s="2" t="s">
        <v>779</v>
      </c>
      <c r="E103" s="2">
        <f t="shared" si="2"/>
        <v>766</v>
      </c>
      <c r="F103" s="2" t="str">
        <f>VLOOKUP(D103,Sheet2!D:E,2,0)</f>
        <v>sctvhdpth</v>
      </c>
      <c r="G103" s="2" t="str">
        <f t="shared" si="3"/>
        <v>SCTV Phim Tổng hợp</v>
      </c>
      <c r="H103" s="2" t="str">
        <f>IFERROR(VLOOKUP(C103,[1]Sheet1!$A:$D,4,0),"")</f>
        <v>https://s2129132.cdn.mytvnet.vn/vimages/09/91/13/30/0b/b8/09130-psctvphimtnghp-channel-unkn.png</v>
      </c>
      <c r="I103" s="2" t="str">
        <f>IFERROR(VLOOKUP(C103,[1]Sheet1!$A:$D,2,0),"")</f>
        <v>SCTV - Phim Tổng hợp</v>
      </c>
      <c r="J103" s="2" t="str">
        <f>IFERROR(VLOOKUP(C103,[1]Sheet1!$A:$D,3,0),"")</f>
        <v>rtp://232.84.3.14:11968</v>
      </c>
      <c r="K103" s="2" t="b">
        <f>D103=I103</f>
        <v>0</v>
      </c>
    </row>
    <row r="104" spans="1:11" ht="12.75" x14ac:dyDescent="0.2">
      <c r="A104" s="2">
        <v>45</v>
      </c>
      <c r="B104" s="2" t="s">
        <v>71</v>
      </c>
      <c r="C104" s="2">
        <v>829</v>
      </c>
      <c r="D104" s="2" t="s">
        <v>780</v>
      </c>
      <c r="E104" s="2">
        <f t="shared" si="2"/>
        <v>829</v>
      </c>
      <c r="F104" s="2" t="str">
        <f>VLOOKUP(D104,Sheet2!D:E,2,0)</f>
        <v>sctv22hd</v>
      </c>
      <c r="G104" s="2" t="str">
        <f t="shared" si="3"/>
        <v>SCTV22</v>
      </c>
      <c r="H104" s="2" t="str">
        <f>IFERROR(VLOOKUP(C104,[1]Sheet1!$A:$D,4,0),"")</f>
        <v>https://s2129132.cdn.mytvnet.vn/vimages/ee/eb/bb/bb/bf/f5/eebbb-psctv22ssportt1-channel-unkn.png</v>
      </c>
      <c r="I104" s="2" t="str">
        <f>IFERROR(VLOOKUP(C104,[1]Sheet1!$A:$D,2,0),"")</f>
        <v>SCTV 22 - SSportT1</v>
      </c>
      <c r="J104" s="2" t="str">
        <f>IFERROR(VLOOKUP(C104,[1]Sheet1!$A:$D,3,0),"")</f>
        <v>rtp://232.84.3.15:11962</v>
      </c>
      <c r="K104" s="2" t="b">
        <f>D104=I104</f>
        <v>0</v>
      </c>
    </row>
    <row r="105" spans="1:11" ht="12.75" x14ac:dyDescent="0.2">
      <c r="A105" s="2">
        <v>13</v>
      </c>
      <c r="B105" s="2" t="s">
        <v>25</v>
      </c>
      <c r="C105" s="2">
        <v>769</v>
      </c>
      <c r="D105" s="2" t="s">
        <v>203</v>
      </c>
      <c r="E105" s="2">
        <f t="shared" si="2"/>
        <v>769</v>
      </c>
      <c r="F105" s="2" t="str">
        <f>VLOOKUP(D105,Sheet2!D:E,2,0)</f>
        <v>sctv1hd</v>
      </c>
      <c r="G105" s="2" t="str">
        <f t="shared" si="3"/>
        <v>SCTV1</v>
      </c>
      <c r="H105" s="2" t="str">
        <f>IFERROR(VLOOKUP(C105,[1]Sheet1!$A:$D,4,0),"")</f>
        <v>https://s2129132.cdn.mytvnet.vn/vimages/52/20/05/5a/aa/ad/5205a-psctv1knhhi-channel-unkn.png</v>
      </c>
      <c r="I105" s="2" t="str">
        <f>IFERROR(VLOOKUP(C105,[1]Sheet1!$A:$D,2,0),"")</f>
        <v>SCTV1</v>
      </c>
      <c r="J105" s="2" t="str">
        <f>IFERROR(VLOOKUP(C105,[1]Sheet1!$A:$D,3,0),"")</f>
        <v>rtp://232.84.3.34:11848</v>
      </c>
      <c r="K105" s="2" t="b">
        <f>D105=I105</f>
        <v>1</v>
      </c>
    </row>
    <row r="106" spans="1:11" ht="12.75" x14ac:dyDescent="0.2">
      <c r="A106" s="2">
        <v>26</v>
      </c>
      <c r="B106" s="2" t="s">
        <v>42</v>
      </c>
      <c r="C106" s="2">
        <v>793</v>
      </c>
      <c r="D106" s="2" t="s">
        <v>205</v>
      </c>
      <c r="E106" s="2">
        <f t="shared" si="2"/>
        <v>793</v>
      </c>
      <c r="F106" s="2" t="str">
        <f>VLOOKUP(D106,Sheet2!D:E,2,0)</f>
        <v>sctv11hd</v>
      </c>
      <c r="G106" s="2" t="str">
        <f t="shared" si="3"/>
        <v>SCTV11</v>
      </c>
      <c r="H106" s="2" t="str">
        <f>IFERROR(VLOOKUP(C106,[1]Sheet1!$A:$D,4,0),"")</f>
        <v>https://s2129132.cdn.mytvnet.vn/vimages/34/4e/ec/c9/9f/f2/34ec9-psctv11tvstar-channel-unkn.png</v>
      </c>
      <c r="I106" s="2" t="str">
        <f>IFERROR(VLOOKUP(C106,[1]Sheet1!$A:$D,2,0),"")</f>
        <v>SCTV11</v>
      </c>
      <c r="J106" s="2" t="str">
        <f>IFERROR(VLOOKUP(C106,[1]Sheet1!$A:$D,3,0),"")</f>
        <v>rtp://232.84.3.26:11896</v>
      </c>
      <c r="K106" s="2" t="b">
        <f>D106=I106</f>
        <v>1</v>
      </c>
    </row>
    <row r="107" spans="1:11" ht="12.75" x14ac:dyDescent="0.2">
      <c r="A107" s="2">
        <v>27</v>
      </c>
      <c r="B107" s="2" t="s">
        <v>43</v>
      </c>
      <c r="C107" s="2">
        <v>796</v>
      </c>
      <c r="D107" s="2" t="s">
        <v>207</v>
      </c>
      <c r="E107" s="2">
        <f t="shared" si="2"/>
        <v>796</v>
      </c>
      <c r="F107" s="2" t="str">
        <f>VLOOKUP(D107,Sheet2!D:E,2,0)</f>
        <v>sctv12hd</v>
      </c>
      <c r="G107" s="2" t="str">
        <f t="shared" si="3"/>
        <v>SCTV12</v>
      </c>
      <c r="H107" s="2" t="str">
        <f>IFERROR(VLOOKUP(C107,[1]Sheet1!$A:$D,4,0),"")</f>
        <v>https://s2129132.cdn.mytvnet.vn/vimages/93/38/8d/da/a2/2c/938da-psctv12dulch-channel-unkn.png</v>
      </c>
      <c r="I107" s="2" t="str">
        <f>IFERROR(VLOOKUP(C107,[1]Sheet1!$A:$D,2,0),"")</f>
        <v>SCTV12</v>
      </c>
      <c r="J107" s="2" t="str">
        <f>IFERROR(VLOOKUP(C107,[1]Sheet1!$A:$D,3,0),"")</f>
        <v>rtp://232.84.3.25:11902</v>
      </c>
      <c r="K107" s="2" t="b">
        <f>D107=I107</f>
        <v>1</v>
      </c>
    </row>
    <row r="108" spans="1:11" ht="12.75" x14ac:dyDescent="0.2">
      <c r="A108" s="2">
        <v>31</v>
      </c>
      <c r="B108" s="2" t="s">
        <v>48</v>
      </c>
      <c r="C108" s="2">
        <v>799</v>
      </c>
      <c r="D108" s="2" t="s">
        <v>209</v>
      </c>
      <c r="E108" s="2">
        <f t="shared" si="2"/>
        <v>799</v>
      </c>
      <c r="F108" s="2" t="str">
        <f>VLOOKUP(D108,Sheet2!D:E,2,0)</f>
        <v>sctv13hd</v>
      </c>
      <c r="G108" s="2" t="str">
        <f t="shared" si="3"/>
        <v>SCTV13</v>
      </c>
      <c r="H108" s="2" t="str">
        <f>IFERROR(VLOOKUP(C108,[1]Sheet1!$A:$D,4,0),"")</f>
        <v>https://s2129132.cdn.mytvnet.vn/vimages/e3/32/20/0b/bc/c3/e320b-psctv13ladytv-channel-unkn.png</v>
      </c>
      <c r="I108" s="2" t="str">
        <f>IFERROR(VLOOKUP(C108,[1]Sheet1!$A:$D,2,0),"")</f>
        <v>SCTV13</v>
      </c>
      <c r="J108" s="2" t="str">
        <f>IFERROR(VLOOKUP(C108,[1]Sheet1!$A:$D,3,0),"")</f>
        <v>rtp://232.84.3.24:11908</v>
      </c>
      <c r="K108" s="2" t="b">
        <f>D108=I108</f>
        <v>1</v>
      </c>
    </row>
    <row r="109" spans="1:11" ht="12.75" x14ac:dyDescent="0.2">
      <c r="A109" s="2">
        <v>43</v>
      </c>
      <c r="B109" s="2" t="s">
        <v>68</v>
      </c>
      <c r="C109" s="2">
        <v>823</v>
      </c>
      <c r="D109" s="2" t="s">
        <v>781</v>
      </c>
      <c r="E109" s="2">
        <f t="shared" si="2"/>
        <v>823</v>
      </c>
      <c r="F109" s="2" t="str">
        <f>VLOOKUP(D109,Sheet2!D:E,2,0)</f>
        <v>sctv15hd</v>
      </c>
      <c r="G109" s="2" t="str">
        <f t="shared" si="3"/>
        <v>SCTV15</v>
      </c>
      <c r="H109" s="2" t="str">
        <f>IFERROR(VLOOKUP(C109,[1]Sheet1!$A:$D,4,0),"")</f>
        <v>https://s2129132.cdn.mytvnet.vn/vimages/c5/52/26/64/4d/d2/c5264-psctv15ssportt2-channel-unkn.png</v>
      </c>
      <c r="I109" s="2" t="str">
        <f>IFERROR(VLOOKUP(C109,[1]Sheet1!$A:$D,2,0),"")</f>
        <v>SCTV15 - SSportT2</v>
      </c>
      <c r="J109" s="2" t="str">
        <f>IFERROR(VLOOKUP(C109,[1]Sheet1!$A:$D,3,0),"")</f>
        <v>rtp://232.84.3.22:11920</v>
      </c>
      <c r="K109" s="2" t="b">
        <f>D109=I109</f>
        <v>0</v>
      </c>
    </row>
    <row r="110" spans="1:11" ht="12.75" x14ac:dyDescent="0.2">
      <c r="A110" s="2">
        <v>34</v>
      </c>
      <c r="B110" s="2" t="s">
        <v>54</v>
      </c>
      <c r="C110" s="2">
        <v>805</v>
      </c>
      <c r="D110" s="2" t="s">
        <v>213</v>
      </c>
      <c r="E110" s="2">
        <f t="shared" si="2"/>
        <v>805</v>
      </c>
      <c r="F110" s="2" t="str">
        <f>VLOOKUP(D110,Sheet2!D:E,2,0)</f>
        <v>sctv16hd</v>
      </c>
      <c r="G110" s="2" t="str">
        <f t="shared" si="3"/>
        <v>SCTV16</v>
      </c>
      <c r="H110" s="2" t="str">
        <f>IFERROR(VLOOKUP(C110,[1]Sheet1!$A:$D,4,0),"")</f>
        <v>https://s2129132.cdn.mytvnet.vn/vimages/e2/2b/b9/90/05/54/e2b90-psctv16-channel-unkn.png</v>
      </c>
      <c r="I110" s="2" t="str">
        <f>IFERROR(VLOOKUP(C110,[1]Sheet1!$A:$D,2,0),"")</f>
        <v>SCTV16</v>
      </c>
      <c r="J110" s="2" t="str">
        <f>IFERROR(VLOOKUP(C110,[1]Sheet1!$A:$D,3,0),"")</f>
        <v>rtp://232.84.3.21:11926</v>
      </c>
      <c r="K110" s="2" t="b">
        <f>D110=I110</f>
        <v>1</v>
      </c>
    </row>
    <row r="111" spans="1:11" ht="12.75" x14ac:dyDescent="0.2">
      <c r="A111" s="2">
        <v>44</v>
      </c>
      <c r="B111" s="2" t="s">
        <v>69</v>
      </c>
      <c r="C111" s="2">
        <v>826</v>
      </c>
      <c r="D111" s="2" t="s">
        <v>782</v>
      </c>
      <c r="E111" s="2">
        <f t="shared" si="2"/>
        <v>826</v>
      </c>
      <c r="F111" s="2" t="str">
        <f>VLOOKUP(D111,Sheet2!D:E,2,0)</f>
        <v>sctv17hd</v>
      </c>
      <c r="G111" s="2" t="str">
        <f t="shared" si="3"/>
        <v>SCTV17</v>
      </c>
      <c r="H111" s="2" t="str">
        <f>IFERROR(VLOOKUP(C111,[1]Sheet1!$A:$D,4,0),"")</f>
        <v>https://s2129132.cdn.mytvnet.vn/vimages/db/bd/dd/dd/dc/cc/dbddd-psctv17ssport-channel-unkn.png</v>
      </c>
      <c r="I111" s="2" t="str">
        <f>IFERROR(VLOOKUP(C111,[1]Sheet1!$A:$D,2,0),"")</f>
        <v>SCTV17 - Ssport</v>
      </c>
      <c r="J111" s="2" t="str">
        <f>IFERROR(VLOOKUP(C111,[1]Sheet1!$A:$D,3,0),"")</f>
        <v>rtp://232.84.3.20:11932</v>
      </c>
      <c r="K111" s="2" t="b">
        <f>D111=I111</f>
        <v>0</v>
      </c>
    </row>
    <row r="112" spans="1:11" ht="12.75" x14ac:dyDescent="0.2">
      <c r="A112" s="2">
        <v>35</v>
      </c>
      <c r="B112" s="2" t="s">
        <v>55</v>
      </c>
      <c r="C112" s="2">
        <v>808</v>
      </c>
      <c r="D112" s="2" t="s">
        <v>216</v>
      </c>
      <c r="E112" s="2">
        <f t="shared" si="2"/>
        <v>808</v>
      </c>
      <c r="F112" s="2" t="str">
        <f>VLOOKUP(D112,Sheet2!D:E,2,0)</f>
        <v>sctv18hd</v>
      </c>
      <c r="G112" s="2" t="str">
        <f t="shared" si="3"/>
        <v>SCTV18</v>
      </c>
      <c r="H112" s="2" t="str">
        <f>IFERROR(VLOOKUP(C112,[1]Sheet1!$A:$D,4,0),"")</f>
        <v>https://s2129132.cdn.mytvnet.vn/vimages/73/39/96/6a/a3/36/7396a-psctv18phim-channel-unkn.png</v>
      </c>
      <c r="I112" s="2" t="str">
        <f>IFERROR(VLOOKUP(C112,[1]Sheet1!$A:$D,2,0),"")</f>
        <v>SCTV18</v>
      </c>
      <c r="J112" s="2" t="str">
        <f>IFERROR(VLOOKUP(C112,[1]Sheet1!$A:$D,3,0),"")</f>
        <v>rtp://232.84.3.19:11938</v>
      </c>
      <c r="K112" s="2" t="b">
        <f>D112=I112</f>
        <v>1</v>
      </c>
    </row>
    <row r="113" spans="1:11" ht="12.75" x14ac:dyDescent="0.2">
      <c r="A113" s="2">
        <v>36</v>
      </c>
      <c r="B113" s="2" t="s">
        <v>56</v>
      </c>
      <c r="C113" s="2">
        <v>811</v>
      </c>
      <c r="D113" s="2" t="s">
        <v>218</v>
      </c>
      <c r="E113" s="2">
        <f t="shared" si="2"/>
        <v>811</v>
      </c>
      <c r="F113" s="2" t="str">
        <f>VLOOKUP(D113,Sheet2!D:E,2,0)</f>
        <v>sctv19hd</v>
      </c>
      <c r="G113" s="2" t="str">
        <f t="shared" si="3"/>
        <v>SCTV19</v>
      </c>
      <c r="H113" s="2" t="str">
        <f>IFERROR(VLOOKUP(C113,[1]Sheet1!$A:$D,4,0),"")</f>
        <v>https://s2129132.cdn.mytvnet.vn/vimages/05/50/07/74/46/61/05074-psctv19channelt-channel-unkn.png</v>
      </c>
      <c r="I113" s="2" t="str">
        <f>IFERROR(VLOOKUP(C113,[1]Sheet1!$A:$D,2,0),"")</f>
        <v>SCTV19</v>
      </c>
      <c r="J113" s="2" t="str">
        <f>IFERROR(VLOOKUP(C113,[1]Sheet1!$A:$D,3,0),"")</f>
        <v>rtp://232.84.3.18:11944</v>
      </c>
      <c r="K113" s="2" t="b">
        <f>D113=I113</f>
        <v>1</v>
      </c>
    </row>
    <row r="114" spans="1:11" ht="12.75" x14ac:dyDescent="0.2">
      <c r="A114" s="2">
        <v>16</v>
      </c>
      <c r="B114" s="2" t="s">
        <v>30</v>
      </c>
      <c r="C114" s="2">
        <v>772</v>
      </c>
      <c r="D114" s="2" t="s">
        <v>220</v>
      </c>
      <c r="E114" s="2">
        <f t="shared" si="2"/>
        <v>772</v>
      </c>
      <c r="F114" s="2" t="str">
        <f>VLOOKUP(D114,Sheet2!D:E,2,0)</f>
        <v>sctv2hd</v>
      </c>
      <c r="G114" s="2" t="str">
        <f t="shared" si="3"/>
        <v>SCTV2</v>
      </c>
      <c r="H114" s="2" t="str">
        <f>IFERROR(VLOOKUP(C114,[1]Sheet1!$A:$D,4,0),"")</f>
        <v>https://s2129132.cdn.mytvnet.vn/vimages/28/84/49/9f/f6/68/2849f-psctv2amc-channel-unkn.png</v>
      </c>
      <c r="I114" s="2" t="str">
        <f>IFERROR(VLOOKUP(C114,[1]Sheet1!$A:$D,2,0),"")</f>
        <v>SCTV2</v>
      </c>
      <c r="J114" s="2" t="str">
        <f>IFERROR(VLOOKUP(C114,[1]Sheet1!$A:$D,3,0),"")</f>
        <v>rtp://232.84.3.33:11854</v>
      </c>
      <c r="K114" s="2" t="b">
        <f>D114=I114</f>
        <v>1</v>
      </c>
    </row>
    <row r="115" spans="1:11" ht="12.75" x14ac:dyDescent="0.2">
      <c r="A115" s="2">
        <v>37</v>
      </c>
      <c r="B115" s="2" t="s">
        <v>57</v>
      </c>
      <c r="C115" s="2">
        <v>814</v>
      </c>
      <c r="D115" s="2" t="s">
        <v>222</v>
      </c>
      <c r="E115" s="2">
        <f t="shared" si="2"/>
        <v>814</v>
      </c>
      <c r="F115" s="2" t="str">
        <f>VLOOKUP(D115,Sheet2!D:E,2,0)</f>
        <v>sctv20hd</v>
      </c>
      <c r="G115" s="2" t="str">
        <f t="shared" si="3"/>
        <v>SCTV20</v>
      </c>
      <c r="H115" s="2" t="str">
        <f>IFERROR(VLOOKUP(C115,[1]Sheet1!$A:$D,4,0),"")</f>
        <v>https://s2129132.cdn.mytvnet.vn/vimages/36/6e/e9/97/79/91/36e97-psctv20itv-channel-unkn.png</v>
      </c>
      <c r="I115" s="2" t="str">
        <f>IFERROR(VLOOKUP(C115,[1]Sheet1!$A:$D,2,0),"")</f>
        <v>SCTV20</v>
      </c>
      <c r="J115" s="2" t="str">
        <f>IFERROR(VLOOKUP(C115,[1]Sheet1!$A:$D,3,0),"")</f>
        <v>rtp://232.84.3.17:11950</v>
      </c>
      <c r="K115" s="2" t="b">
        <f>D115=I115</f>
        <v>1</v>
      </c>
    </row>
    <row r="116" spans="1:11" ht="12.75" x14ac:dyDescent="0.2">
      <c r="A116" s="2">
        <v>38</v>
      </c>
      <c r="B116" s="2" t="s">
        <v>59</v>
      </c>
      <c r="C116" s="2">
        <v>817</v>
      </c>
      <c r="D116" s="2" t="s">
        <v>224</v>
      </c>
      <c r="E116" s="2">
        <f t="shared" si="2"/>
        <v>817</v>
      </c>
      <c r="F116" s="2" t="str">
        <f>VLOOKUP(D116,Sheet2!D:E,2,0)</f>
        <v>sctv21hd</v>
      </c>
      <c r="G116" s="2" t="str">
        <f t="shared" si="3"/>
        <v>SCTV21</v>
      </c>
      <c r="H116" s="2" t="str">
        <f>IFERROR(VLOOKUP(C116,[1]Sheet1!$A:$D,4,0),"")</f>
        <v>https://s2129132.cdn.mytvnet.vn/vimages/8d/de/ee/e3/3e/e7/8dee3-psctv21-channel-unkn.png</v>
      </c>
      <c r="I116" s="2" t="str">
        <f>IFERROR(VLOOKUP(C116,[1]Sheet1!$A:$D,2,0),"")</f>
        <v>SCTV21</v>
      </c>
      <c r="J116" s="2" t="str">
        <f>IFERROR(VLOOKUP(C116,[1]Sheet1!$A:$D,3,0),"")</f>
        <v>rtp://232.84.3.16:11956</v>
      </c>
      <c r="K116" s="2" t="b">
        <f>D116=I116</f>
        <v>1</v>
      </c>
    </row>
    <row r="117" spans="1:11" ht="12.75" x14ac:dyDescent="0.2">
      <c r="A117" s="2">
        <v>17</v>
      </c>
      <c r="B117" s="2" t="s">
        <v>31</v>
      </c>
      <c r="C117" s="2">
        <v>775</v>
      </c>
      <c r="D117" s="2" t="s">
        <v>226</v>
      </c>
      <c r="E117" s="2">
        <f t="shared" si="2"/>
        <v>775</v>
      </c>
      <c r="F117" s="2" t="str">
        <f>VLOOKUP(D117,Sheet2!D:E,2,0)</f>
        <v>sctv3hd</v>
      </c>
      <c r="G117" s="2" t="str">
        <f t="shared" si="3"/>
        <v>SCTV3</v>
      </c>
      <c r="H117" s="2" t="str">
        <f>IFERROR(VLOOKUP(C117,[1]Sheet1!$A:$D,4,0),"")</f>
        <v>https://s2129132.cdn.mytvnet.vn/vimages/28/86/68/8c/c8/8d/2868c-psctv3seetv-channel-unkn.png</v>
      </c>
      <c r="I117" s="2" t="str">
        <f>IFERROR(VLOOKUP(C117,[1]Sheet1!$A:$D,2,0),"")</f>
        <v>SCTV3</v>
      </c>
      <c r="J117" s="2" t="str">
        <f>IFERROR(VLOOKUP(C117,[1]Sheet1!$A:$D,3,0),"")</f>
        <v>rtp://232.84.3.32:11860</v>
      </c>
      <c r="K117" s="2" t="b">
        <f>D117=I117</f>
        <v>1</v>
      </c>
    </row>
    <row r="118" spans="1:11" ht="12.75" x14ac:dyDescent="0.2">
      <c r="A118" s="2">
        <v>18</v>
      </c>
      <c r="B118" s="2" t="s">
        <v>33</v>
      </c>
      <c r="C118" s="2">
        <v>778</v>
      </c>
      <c r="D118" s="2" t="s">
        <v>228</v>
      </c>
      <c r="E118" s="2">
        <f t="shared" si="2"/>
        <v>778</v>
      </c>
      <c r="F118" s="2" t="str">
        <f>VLOOKUP(D118,Sheet2!D:E,2,0)</f>
        <v>sctv4hd</v>
      </c>
      <c r="G118" s="2" t="str">
        <f t="shared" si="3"/>
        <v>SCTV4</v>
      </c>
      <c r="H118" s="2" t="str">
        <f>IFERROR(VLOOKUP(C118,[1]Sheet1!$A:$D,4,0),"")</f>
        <v>https://s2129132.cdn.mytvnet.vn/vimages/d5/53/34/4b/b2/2a/d534b-psctv4tnghplestviet-channel-unkn.png</v>
      </c>
      <c r="I118" s="2" t="str">
        <f>IFERROR(VLOOKUP(C118,[1]Sheet1!$A:$D,2,0),"")</f>
        <v>SCTV4</v>
      </c>
      <c r="J118" s="2" t="str">
        <f>IFERROR(VLOOKUP(C118,[1]Sheet1!$A:$D,3,0),"")</f>
        <v>rtp://232.84.3.31:11866</v>
      </c>
      <c r="K118" s="2" t="b">
        <f>D118=I118</f>
        <v>1</v>
      </c>
    </row>
    <row r="119" spans="1:11" ht="12.75" x14ac:dyDescent="0.2">
      <c r="A119" s="2">
        <v>19</v>
      </c>
      <c r="B119" s="2" t="s">
        <v>35</v>
      </c>
      <c r="C119" s="2">
        <v>781</v>
      </c>
      <c r="D119" s="2" t="s">
        <v>230</v>
      </c>
      <c r="E119" s="2">
        <f t="shared" si="2"/>
        <v>781</v>
      </c>
      <c r="F119" s="2" t="str">
        <f>VLOOKUP(D119,Sheet2!D:E,2,0)</f>
        <v>sctv6hd</v>
      </c>
      <c r="G119" s="2" t="str">
        <f t="shared" si="3"/>
        <v>SCTV6</v>
      </c>
      <c r="H119" s="2" t="str">
        <f>IFERROR(VLOOKUP(C119,[1]Sheet1!$A:$D,4,0),"")</f>
        <v>https://s2129132.cdn.mytvnet.vn/vimages/32/27/7b/b4/41/12/327b4-psctv6sngnhc-channel-unkn.png</v>
      </c>
      <c r="I119" s="2" t="str">
        <f>IFERROR(VLOOKUP(C119,[1]Sheet1!$A:$D,2,0),"")</f>
        <v>SCTV6</v>
      </c>
      <c r="J119" s="2" t="str">
        <f>IFERROR(VLOOKUP(C119,[1]Sheet1!$A:$D,3,0),"")</f>
        <v>rtp://232.84.3.30:11872</v>
      </c>
      <c r="K119" s="2" t="b">
        <f>D119=I119</f>
        <v>1</v>
      </c>
    </row>
    <row r="120" spans="1:11" ht="12.75" x14ac:dyDescent="0.2">
      <c r="A120" s="2">
        <v>20</v>
      </c>
      <c r="B120" s="2" t="s">
        <v>36</v>
      </c>
      <c r="C120" s="2">
        <v>784</v>
      </c>
      <c r="D120" s="2" t="s">
        <v>231</v>
      </c>
      <c r="E120" s="2">
        <f t="shared" si="2"/>
        <v>784</v>
      </c>
      <c r="F120" s="2" t="str">
        <f>VLOOKUP(D120,Sheet2!D:E,2,0)</f>
        <v>sctv7hd</v>
      </c>
      <c r="G120" s="2" t="str">
        <f t="shared" si="3"/>
        <v>SCTV7</v>
      </c>
      <c r="H120" s="2" t="str">
        <f>IFERROR(VLOOKUP(C120,[1]Sheet1!$A:$D,4,0),"")</f>
        <v>https://s2129132.cdn.mytvnet.vn/vimages/0b/b7/70/0a/a8/85/0b70a-psctv7snkhuvnnghtnghp-channel-unkn.png</v>
      </c>
      <c r="I120" s="2" t="str">
        <f>IFERROR(VLOOKUP(C120,[1]Sheet1!$A:$D,2,0),"")</f>
        <v>SCTV7</v>
      </c>
      <c r="J120" s="2" t="str">
        <f>IFERROR(VLOOKUP(C120,[1]Sheet1!$A:$D,3,0),"")</f>
        <v>rtp://232.84.3.29:11878</v>
      </c>
      <c r="K120" s="2" t="b">
        <f>D120=I120</f>
        <v>1</v>
      </c>
    </row>
    <row r="121" spans="1:11" ht="12.75" x14ac:dyDescent="0.2">
      <c r="A121" s="2">
        <v>22</v>
      </c>
      <c r="B121" s="2" t="s">
        <v>38</v>
      </c>
      <c r="C121" s="2">
        <v>787</v>
      </c>
      <c r="D121" s="2" t="s">
        <v>232</v>
      </c>
      <c r="E121" s="2">
        <f t="shared" si="2"/>
        <v>787</v>
      </c>
      <c r="F121" s="2" t="str">
        <f>VLOOKUP(D121,Sheet2!D:E,2,0)</f>
        <v>sctv8hd</v>
      </c>
      <c r="G121" s="2" t="str">
        <f t="shared" si="3"/>
        <v>SCTV8</v>
      </c>
      <c r="H121" s="2" t="str">
        <f>IFERROR(VLOOKUP(C121,[1]Sheet1!$A:$D,4,0),"")</f>
        <v>https://s2129132.cdn.mytvnet.vn/vimages/6a/a5/5b/bc/c3/3e/6a5bc-psctv8vitv-channel-unkn.png</v>
      </c>
      <c r="I121" s="2" t="str">
        <f>IFERROR(VLOOKUP(C121,[1]Sheet1!$A:$D,2,0),"")</f>
        <v>SCTV8</v>
      </c>
      <c r="J121" s="2" t="str">
        <f>IFERROR(VLOOKUP(C121,[1]Sheet1!$A:$D,3,0),"")</f>
        <v>rtp://232.84.3.28:11884</v>
      </c>
      <c r="K121" s="2" t="b">
        <f>D121=I121</f>
        <v>1</v>
      </c>
    </row>
    <row r="122" spans="1:11" ht="12.75" x14ac:dyDescent="0.2">
      <c r="A122" s="2">
        <v>23</v>
      </c>
      <c r="B122" s="2" t="s">
        <v>39</v>
      </c>
      <c r="C122" s="2">
        <v>790</v>
      </c>
      <c r="D122" s="2" t="s">
        <v>233</v>
      </c>
      <c r="E122" s="2">
        <f t="shared" si="2"/>
        <v>790</v>
      </c>
      <c r="F122" s="2" t="str">
        <f>VLOOKUP(D122,Sheet2!D:E,2,0)</f>
        <v>sctv9hd</v>
      </c>
      <c r="G122" s="2" t="str">
        <f t="shared" si="3"/>
        <v>SCTV9</v>
      </c>
      <c r="H122" s="2" t="str">
        <f>IFERROR(VLOOKUP(C122,[1]Sheet1!$A:$D,4,0),"")</f>
        <v>https://s2129132.cdn.mytvnet.vn/vimages/b1/16/63/3d/d1/14/b163d-psctv9phimchu-channel-unkn.png</v>
      </c>
      <c r="I122" s="2" t="str">
        <f>IFERROR(VLOOKUP(C122,[1]Sheet1!$A:$D,2,0),"")</f>
        <v>SCTV9</v>
      </c>
      <c r="J122" s="2" t="str">
        <f>IFERROR(VLOOKUP(C122,[1]Sheet1!$A:$D,3,0),"")</f>
        <v>rtp://232.84.3.27:11890</v>
      </c>
      <c r="K122" s="2" t="b">
        <f>D122=I122</f>
        <v>1</v>
      </c>
    </row>
    <row r="123" spans="1:11" ht="12.75" x14ac:dyDescent="0.2">
      <c r="A123" s="2">
        <v>120</v>
      </c>
      <c r="B123" s="2" t="s">
        <v>178</v>
      </c>
      <c r="C123" s="2">
        <v>157</v>
      </c>
      <c r="D123" s="2" t="s">
        <v>235</v>
      </c>
      <c r="E123" s="2">
        <f t="shared" si="2"/>
        <v>157</v>
      </c>
      <c r="F123" s="2" t="str">
        <f>VLOOKUP(D123,Sheet2!D:E,2,0)</f>
        <v>sonla</v>
      </c>
      <c r="G123" s="2" t="str">
        <f t="shared" si="3"/>
        <v>Sơn La</v>
      </c>
      <c r="H123" s="2" t="str">
        <f>IFERROR(VLOOKUP(C123,[1]Sheet1!$A:$D,4,0),"")</f>
        <v>https://s2129132.cdn.mytvnet.vn/vimages/bb/b7/75/54/4d/df/bb754-psnlatv-channel-unkn.png</v>
      </c>
      <c r="I123" s="2" t="str">
        <f>IFERROR(VLOOKUP(C123,[1]Sheet1!$A:$D,2,0),"")</f>
        <v>Sơn La TV</v>
      </c>
      <c r="J123" s="2" t="str">
        <f>IFERROR(VLOOKUP(C123,[1]Sheet1!$A:$D,3,0),"")</f>
        <v>rtp://232.84.3.31:11866</v>
      </c>
      <c r="K123" s="2" t="b">
        <f>D123=I123</f>
        <v>0</v>
      </c>
    </row>
    <row r="124" spans="1:11" ht="12.75" x14ac:dyDescent="0.2">
      <c r="A124" s="2">
        <v>32</v>
      </c>
      <c r="B124" s="2" t="s">
        <v>50</v>
      </c>
      <c r="C124" s="2">
        <v>632</v>
      </c>
      <c r="D124" s="2" t="s">
        <v>783</v>
      </c>
      <c r="E124" s="2">
        <f t="shared" si="2"/>
        <v>632</v>
      </c>
      <c r="F124" s="2" t="str">
        <f>VLOOKUP(D124,Sheet2!D:E,2,0)</f>
        <v>spotv1</v>
      </c>
      <c r="G124" s="2" t="str">
        <f t="shared" si="3"/>
        <v>SPOTV</v>
      </c>
      <c r="H124" s="2" t="str">
        <f>IFERROR(VLOOKUP(C124,[1]Sheet1!$A:$D,4,0),"")</f>
        <v>https://s2129132.cdn.mytvnet.vn/vimages/60/0c/ce/e6/6b/b9/60ce6-pspotvhd-channel-unkn.png</v>
      </c>
      <c r="I124" s="2" t="str">
        <f>IFERROR(VLOOKUP(C124,[1]Sheet1!$A:$D,2,0),"")</f>
        <v>SPOTV (HD)</v>
      </c>
      <c r="J124" s="2" t="str">
        <f>IFERROR(VLOOKUP(C124,[1]Sheet1!$A:$D,3,0),"")</f>
        <v>rtp://232.84.3.111:10666</v>
      </c>
      <c r="K124" s="2" t="b">
        <f>D124=I124</f>
        <v>0</v>
      </c>
    </row>
    <row r="125" spans="1:11" ht="12.75" x14ac:dyDescent="0.2">
      <c r="A125" s="2">
        <v>33</v>
      </c>
      <c r="B125" s="2" t="s">
        <v>52</v>
      </c>
      <c r="C125" s="2">
        <v>633</v>
      </c>
      <c r="D125" s="2" t="s">
        <v>784</v>
      </c>
      <c r="E125" s="2">
        <f t="shared" si="2"/>
        <v>633</v>
      </c>
      <c r="F125" s="2" t="str">
        <f>VLOOKUP(D125,Sheet2!D:E,2,0)</f>
        <v>spotv2</v>
      </c>
      <c r="G125" s="2" t="str">
        <f t="shared" si="3"/>
        <v>SPOTV2</v>
      </c>
      <c r="H125" s="2" t="str">
        <f>IFERROR(VLOOKUP(C125,[1]Sheet1!$A:$D,4,0),"")</f>
        <v>https://s2129132.cdn.mytvnet.vn/vimages/53/3d/db/b8/85/59/53db8-pspotv2hd-channel-unkn.png</v>
      </c>
      <c r="I125" s="2" t="str">
        <f>IFERROR(VLOOKUP(C125,[1]Sheet1!$A:$D,2,0),"")</f>
        <v>SPOTV2 (HD)</v>
      </c>
      <c r="J125" s="2" t="str">
        <f>IFERROR(VLOOKUP(C125,[1]Sheet1!$A:$D,3,0),"")</f>
        <v>rtp://232.84.3.129:10672</v>
      </c>
      <c r="K125" s="2" t="b">
        <f>D125=I125</f>
        <v>0</v>
      </c>
    </row>
    <row r="126" spans="1:11" ht="12.75" x14ac:dyDescent="0.2">
      <c r="A126" s="2">
        <v>133</v>
      </c>
      <c r="B126" s="2" t="s">
        <v>196</v>
      </c>
      <c r="C126" s="2">
        <v>47</v>
      </c>
      <c r="D126" s="2" t="s">
        <v>785</v>
      </c>
      <c r="E126" s="2">
        <f t="shared" si="2"/>
        <v>47</v>
      </c>
      <c r="F126" s="2" t="str">
        <f>VLOOKUP(D126,Sheet2!D:E,2,0)</f>
        <v>tayninh1</v>
      </c>
      <c r="G126" s="2" t="str">
        <f t="shared" si="3"/>
        <v>Tây Ninh</v>
      </c>
      <c r="H126" s="2" t="str">
        <f>IFERROR(VLOOKUP(C126,[1]Sheet1!$A:$D,4,0),"")</f>
        <v>https://s2129132.cdn.mytvnet.vn/vimages/ff/f2/20/02/21/16/ff202-ptyninh1-channel-unkn.png</v>
      </c>
      <c r="I126" s="2" t="str">
        <f>IFERROR(VLOOKUP(C126,[1]Sheet1!$A:$D,2,0),"")</f>
        <v>Tây Ninh TV</v>
      </c>
      <c r="J126" s="2" t="str">
        <f>IFERROR(VLOOKUP(C126,[1]Sheet1!$A:$D,3,0),"")</f>
        <v>rtp://232.84.2.3:10314</v>
      </c>
      <c r="K126" s="2" t="b">
        <f>D126=I126</f>
        <v>0</v>
      </c>
    </row>
    <row r="127" spans="1:11" ht="12.75" x14ac:dyDescent="0.2">
      <c r="A127" s="2">
        <v>99</v>
      </c>
      <c r="B127" s="2" t="s">
        <v>144</v>
      </c>
      <c r="C127" s="2">
        <v>406</v>
      </c>
      <c r="D127" s="2" t="s">
        <v>236</v>
      </c>
      <c r="E127" s="2">
        <f t="shared" si="2"/>
        <v>406</v>
      </c>
      <c r="F127" s="2" t="str">
        <f>VLOOKUP(D127,Sheet2!D:E,2,0)</f>
        <v>thainguyen</v>
      </c>
      <c r="G127" s="2" t="str">
        <f t="shared" si="3"/>
        <v>Thái Nguyên</v>
      </c>
      <c r="H127" s="2" t="str">
        <f>IFERROR(VLOOKUP(C127,[1]Sheet1!$A:$D,4,0),"")</f>
        <v>https://s2129132.cdn.mytvnet.vn/vimages/d5/54/40/00/00/03/d5400-pthinguyn-channel-unkn.png</v>
      </c>
      <c r="I127" s="2" t="str">
        <f>IFERROR(VLOOKUP(C127,[1]Sheet1!$A:$D,2,0),"")</f>
        <v>Thái Nguyên</v>
      </c>
      <c r="J127" s="2" t="str">
        <f>IFERROR(VLOOKUP(C127,[1]Sheet1!$A:$D,3,0),"")</f>
        <v>rtp://232.84.3.146:10774</v>
      </c>
      <c r="K127" s="2" t="b">
        <f>D127=I127</f>
        <v>1</v>
      </c>
    </row>
    <row r="128" spans="1:11" ht="12.75" x14ac:dyDescent="0.2">
      <c r="A128" s="2">
        <v>123</v>
      </c>
      <c r="B128" s="2" t="s">
        <v>182</v>
      </c>
      <c r="C128" s="2">
        <v>477</v>
      </c>
      <c r="D128" s="2" t="s">
        <v>237</v>
      </c>
      <c r="E128" s="2">
        <f t="shared" si="2"/>
        <v>477</v>
      </c>
      <c r="F128" s="2" t="str">
        <f>VLOOKUP(D128,Sheet2!D:E,2,0)</f>
        <v>thanhhoa</v>
      </c>
      <c r="G128" s="2" t="str">
        <f t="shared" si="3"/>
        <v>Thanh Hóa</v>
      </c>
      <c r="H128" s="2" t="str">
        <f>IFERROR(VLOOKUP(C128,[1]Sheet1!$A:$D,4,0),"")</f>
        <v>https://s2129132.cdn.mytvnet.vn/vimages/54/4c/c8/80/06/6f/54c80-pthanhhatvhd-channel-unkn.png</v>
      </c>
      <c r="I128" s="2" t="str">
        <f>IFERROR(VLOOKUP(C128,[1]Sheet1!$A:$D,2,0),"")</f>
        <v>Thanh Hóa TV HD</v>
      </c>
      <c r="J128" s="2" t="str">
        <f>IFERROR(VLOOKUP(C128,[1]Sheet1!$A:$D,3,0),"")</f>
        <v>rtp://232.84.3.198:11110</v>
      </c>
      <c r="K128" s="2" t="b">
        <f>D128=I128</f>
        <v>0</v>
      </c>
    </row>
    <row r="129" spans="1:11" ht="12.75" x14ac:dyDescent="0.2">
      <c r="A129" s="2">
        <v>83</v>
      </c>
      <c r="B129" s="2" t="s">
        <v>122</v>
      </c>
      <c r="C129" s="2">
        <v>616</v>
      </c>
      <c r="D129" s="2" t="s">
        <v>93</v>
      </c>
      <c r="E129" s="2">
        <f t="shared" si="2"/>
        <v>616</v>
      </c>
      <c r="F129" s="2" t="str">
        <f>VLOOKUP(D129,Sheet2!D:E,2,0)</f>
        <v>haiphong3</v>
      </c>
      <c r="G129" s="2" t="str">
        <f t="shared" si="3"/>
        <v>Hải Phòng 3</v>
      </c>
      <c r="H129" s="2" t="str">
        <f>IFERROR(VLOOKUP(C129,[1]Sheet1!$A:$D,4,0),"")</f>
        <v>https://s2129132.cdn.mytvnet.vn/vimages/c1/1b/b5/5b/b1/17/c1b5b-pthp3-channel-unkn.png</v>
      </c>
      <c r="I129" s="2" t="str">
        <f>IFERROR(VLOOKUP(C129,[1]Sheet1!$A:$D,2,0),"")</f>
        <v>THP3</v>
      </c>
      <c r="J129" s="2" t="str">
        <f>IFERROR(VLOOKUP(C129,[1]Sheet1!$A:$D,3,0),"")</f>
        <v>rtp://232.84.3.83:11554</v>
      </c>
      <c r="K129" s="2" t="b">
        <f>D129=I129</f>
        <v>0</v>
      </c>
    </row>
    <row r="130" spans="1:11" ht="12.75" x14ac:dyDescent="0.2">
      <c r="A130" s="2">
        <v>111</v>
      </c>
      <c r="B130" s="2" t="s">
        <v>164</v>
      </c>
      <c r="C130" s="2">
        <v>596</v>
      </c>
      <c r="D130" s="2" t="s">
        <v>786</v>
      </c>
      <c r="E130" s="2">
        <f t="shared" si="2"/>
        <v>596</v>
      </c>
      <c r="F130" s="2" t="str">
        <f>VLOOKUP(D130,Sheet2!D:E,2,0)</f>
        <v>tlchd</v>
      </c>
      <c r="G130" s="2" t="str">
        <f t="shared" si="3"/>
        <v>TLC</v>
      </c>
      <c r="H130" s="2" t="str">
        <f>IFERROR(VLOOKUP(C130,[1]Sheet1!$A:$D,4,0),"")</f>
        <v>https://s2129132.cdn.mytvnet.vn/vimages/ce/e5/50/09/97/74/ce509-ptlchd-channel-unkn.png</v>
      </c>
      <c r="I130" s="2" t="str">
        <f>IFERROR(VLOOKUP(C130,[1]Sheet1!$A:$D,2,0),"")</f>
        <v>TLC HD</v>
      </c>
      <c r="J130" s="2">
        <f>IFERROR(VLOOKUP(C130,[1]Sheet1!$A:$D,3,0),"")</f>
        <v>0</v>
      </c>
      <c r="K130" s="2" t="b">
        <f>D130=I130</f>
        <v>0</v>
      </c>
    </row>
    <row r="131" spans="1:11" ht="12.75" x14ac:dyDescent="0.2">
      <c r="A131" s="2">
        <v>101</v>
      </c>
      <c r="B131" s="2" t="s">
        <v>146</v>
      </c>
      <c r="C131" s="2">
        <v>154</v>
      </c>
      <c r="D131" s="2" t="s">
        <v>239</v>
      </c>
      <c r="E131" s="2">
        <f t="shared" ref="E131:E153" si="4">C131</f>
        <v>154</v>
      </c>
      <c r="F131" s="2" t="str">
        <f>VLOOKUP(D131,Sheet2!D:E,2,0)</f>
        <v>tuyenquang</v>
      </c>
      <c r="G131" s="2" t="str">
        <f t="shared" ref="G131:G153" si="5">D131</f>
        <v>Tuyên Quang</v>
      </c>
      <c r="H131" s="2" t="str">
        <f>IFERROR(VLOOKUP(C131,[1]Sheet1!$A:$D,4,0),"")</f>
        <v>https://s2129132.cdn.mytvnet.vn/vimages/b6/61/1c/cf/fe/e0/b61cf-ptuynquangtv-channel-unkn.png</v>
      </c>
      <c r="I131" s="2" t="str">
        <f>IFERROR(VLOOKUP(C131,[1]Sheet1!$A:$D,2,0),"")</f>
        <v>Tuyên Quang TV</v>
      </c>
      <c r="J131" s="2" t="str">
        <f>IFERROR(VLOOKUP(C131,[1]Sheet1!$A:$D,3,0),"")</f>
        <v>rtp://232.84.3.30:11872</v>
      </c>
      <c r="K131" s="2" t="b">
        <f>D131=I131</f>
        <v>0</v>
      </c>
    </row>
    <row r="132" spans="1:11" ht="12.75" x14ac:dyDescent="0.2">
      <c r="A132" s="2">
        <v>49</v>
      </c>
      <c r="B132" s="2" t="s">
        <v>77</v>
      </c>
      <c r="C132" s="2">
        <v>83</v>
      </c>
      <c r="D132" s="2" t="s">
        <v>240</v>
      </c>
      <c r="E132" s="2">
        <f t="shared" si="4"/>
        <v>83</v>
      </c>
      <c r="F132" s="2" t="str">
        <f>VLOOKUP(D132,Sheet2!D:E,2,0)</f>
        <v>tv5monde</v>
      </c>
      <c r="G132" s="2" t="str">
        <f t="shared" si="5"/>
        <v>TV5 MONDE</v>
      </c>
      <c r="H132" s="2" t="str">
        <f>IFERROR(VLOOKUP(C132,[1]Sheet1!$A:$D,4,0),"")</f>
        <v>https://s2129132.cdn.mytvnet.vn/vimages/79/92/2a/a7/76/64/792a7-ptv5monde-channel-unkn.png</v>
      </c>
      <c r="I132" s="2" t="str">
        <f>IFERROR(VLOOKUP(C132,[1]Sheet1!$A:$D,2,0),"")</f>
        <v>TV5 MONDE</v>
      </c>
      <c r="J132" s="2" t="str">
        <f>IFERROR(VLOOKUP(C132,[1]Sheet1!$A:$D,3,0),"")</f>
        <v>rtp://232.84.1.45:8250</v>
      </c>
      <c r="K132" s="2" t="b">
        <f>D132=I132</f>
        <v>1</v>
      </c>
    </row>
    <row r="133" spans="1:11" ht="12.75" x14ac:dyDescent="0.2">
      <c r="A133" s="2">
        <v>6</v>
      </c>
      <c r="B133" s="2" t="s">
        <v>16</v>
      </c>
      <c r="C133" s="2">
        <v>857</v>
      </c>
      <c r="D133" s="2" t="s">
        <v>241</v>
      </c>
      <c r="E133" s="2">
        <f t="shared" si="4"/>
        <v>857</v>
      </c>
      <c r="F133" s="2" t="str">
        <f>VLOOKUP(D133,Sheet2!D:E,2,0)</f>
        <v>vietnamtoday</v>
      </c>
      <c r="G133" s="2" t="str">
        <f t="shared" si="5"/>
        <v>Vietnam Today</v>
      </c>
      <c r="H133" s="2" t="str">
        <f>IFERROR(VLOOKUP(C133,[1]Sheet1!$A:$D,4,0),"")</f>
        <v>https://s2129132.cdn.mytvnet.vn/vimages/64/4d/db/b8/80/03/64db8-pvietnamtoday-channel-unkn.png</v>
      </c>
      <c r="I133" s="2" t="str">
        <f>IFERROR(VLOOKUP(C133,[1]Sheet1!$A:$D,2,0),"")</f>
        <v>Vietnam Today</v>
      </c>
      <c r="J133" s="2" t="str">
        <f>IFERROR(VLOOKUP(C133,[1]Sheet1!$A:$D,3,0),"")</f>
        <v>rtp://232.84.1.234:10290</v>
      </c>
      <c r="K133" s="2" t="b">
        <f>D133=I133</f>
        <v>1</v>
      </c>
    </row>
    <row r="134" spans="1:11" ht="12.75" x14ac:dyDescent="0.2">
      <c r="A134" s="2">
        <v>21</v>
      </c>
      <c r="B134" s="2" t="s">
        <v>37</v>
      </c>
      <c r="C134" s="2">
        <v>421</v>
      </c>
      <c r="D134" s="2" t="s">
        <v>789</v>
      </c>
      <c r="E134" s="2">
        <f t="shared" si="4"/>
        <v>421</v>
      </c>
      <c r="F134" s="2" t="str">
        <f>VLOOKUP(D134,Sheet2!D:E,2,0)</f>
        <v>vinhlong1hd</v>
      </c>
      <c r="G134" s="2" t="str">
        <f t="shared" si="5"/>
        <v>Vĩnh Long 1</v>
      </c>
      <c r="H134" s="2" t="str">
        <f>IFERROR(VLOOKUP(C134,[1]Sheet1!$A:$D,4,0),"")</f>
        <v>https://s2129132.cdn.mytvnet.vn/vimages/64/47/7e/e1/12/2d/647e1-pvnhlong1hd-channel-unkn.png</v>
      </c>
      <c r="I134" s="2" t="str">
        <f>IFERROR(VLOOKUP(C134,[1]Sheet1!$A:$D,2,0),"")</f>
        <v>Vĩnh Long 1 HD</v>
      </c>
      <c r="J134" s="2" t="str">
        <f>IFERROR(VLOOKUP(C134,[1]Sheet1!$A:$D,3,0),"")</f>
        <v>rtp://232.84.3.152:10882</v>
      </c>
      <c r="K134" s="2" t="b">
        <f>D134=I134</f>
        <v>0</v>
      </c>
    </row>
    <row r="135" spans="1:11" ht="12.75" x14ac:dyDescent="0.2">
      <c r="A135" s="2">
        <v>24</v>
      </c>
      <c r="B135" s="2" t="s">
        <v>40</v>
      </c>
      <c r="C135" s="2">
        <v>423</v>
      </c>
      <c r="D135" s="2" t="s">
        <v>790</v>
      </c>
      <c r="E135" s="2">
        <f t="shared" si="4"/>
        <v>423</v>
      </c>
      <c r="F135" s="2" t="str">
        <f>VLOOKUP(D135,Sheet2!D:E,2,0)</f>
        <v>vinhlong2hd</v>
      </c>
      <c r="G135" s="2" t="str">
        <f t="shared" si="5"/>
        <v>Vĩnh Long 2</v>
      </c>
      <c r="H135" s="2" t="str">
        <f>IFERROR(VLOOKUP(C135,[1]Sheet1!$A:$D,4,0),"")</f>
        <v>https://s2129132.cdn.mytvnet.vn/vimages/71/1b/bb/bd/d2/24/71bbd-pvnhlong2hd-channel-unkn.png</v>
      </c>
      <c r="I135" s="2" t="str">
        <f>IFERROR(VLOOKUP(C135,[1]Sheet1!$A:$D,2,0),"")</f>
        <v>Vĩnh Long 2 HD</v>
      </c>
      <c r="J135" s="2" t="str">
        <f>IFERROR(VLOOKUP(C135,[1]Sheet1!$A:$D,3,0),"")</f>
        <v>rtp://232.84.3.164:10888</v>
      </c>
      <c r="K135" s="2" t="b">
        <f>D135=I135</f>
        <v>0</v>
      </c>
    </row>
    <row r="136" spans="1:11" ht="12.75" x14ac:dyDescent="0.2">
      <c r="A136" s="2">
        <v>25</v>
      </c>
      <c r="B136" s="2" t="s">
        <v>41</v>
      </c>
      <c r="C136" s="2">
        <v>425</v>
      </c>
      <c r="D136" s="2" t="s">
        <v>791</v>
      </c>
      <c r="E136" s="2">
        <f t="shared" si="4"/>
        <v>425</v>
      </c>
      <c r="F136" s="2" t="str">
        <f>VLOOKUP(D136,Sheet2!D:E,2,0)</f>
        <v>vinhlong3hd</v>
      </c>
      <c r="G136" s="2" t="str">
        <f t="shared" si="5"/>
        <v>Vĩnh Long 3</v>
      </c>
      <c r="H136" s="2" t="str">
        <f>IFERROR(VLOOKUP(C136,[1]Sheet1!$A:$D,4,0),"")</f>
        <v>https://s2129132.cdn.mytvnet.vn/vimages/8d/d7/7b/b4/40/02/8d7b4-pvnhlong3hd-channel-unkn.png</v>
      </c>
      <c r="I136" s="2" t="str">
        <f>IFERROR(VLOOKUP(C136,[1]Sheet1!$A:$D,2,0),"")</f>
        <v>Vĩnh Long 3 HD</v>
      </c>
      <c r="J136" s="2" t="str">
        <f>IFERROR(VLOOKUP(C136,[1]Sheet1!$A:$D,3,0),"")</f>
        <v>rtp://232.84.3.165:10900</v>
      </c>
      <c r="K136" s="2" t="b">
        <f>D136=I136</f>
        <v>0</v>
      </c>
    </row>
    <row r="137" spans="1:11" ht="12.75" x14ac:dyDescent="0.2">
      <c r="A137" s="2">
        <v>46</v>
      </c>
      <c r="B137" s="2" t="s">
        <v>72</v>
      </c>
      <c r="C137" s="2">
        <v>429</v>
      </c>
      <c r="D137" s="2" t="s">
        <v>792</v>
      </c>
      <c r="E137" s="2">
        <f t="shared" si="4"/>
        <v>429</v>
      </c>
      <c r="F137" s="2" t="str">
        <f>VLOOKUP(D137,Sheet2!D:E,2,0)</f>
        <v>vinhlong4hd</v>
      </c>
      <c r="G137" s="2" t="str">
        <f t="shared" si="5"/>
        <v>Vĩnh Long 4</v>
      </c>
      <c r="H137" s="2" t="str">
        <f>IFERROR(VLOOKUP(C137,[1]Sheet1!$A:$D,4,0),"")</f>
        <v>https://s2129132.cdn.mytvnet.vn/vimages/f6/6b/b2/29/99/9c/f6b29-pvnhlong4hd-channel-unkn.png</v>
      </c>
      <c r="I137" s="2" t="str">
        <f>IFERROR(VLOOKUP(C137,[1]Sheet1!$A:$D,2,0),"")</f>
        <v>Vĩnh Long 4 HD</v>
      </c>
      <c r="J137" s="2" t="str">
        <f>IFERROR(VLOOKUP(C137,[1]Sheet1!$A:$D,3,0),"")</f>
        <v>rtp://232.84.3.160:10912</v>
      </c>
      <c r="K137" s="2" t="b">
        <f>D137=I137</f>
        <v>0</v>
      </c>
    </row>
    <row r="138" spans="1:11" ht="12.75" x14ac:dyDescent="0.2">
      <c r="A138" s="2">
        <v>146</v>
      </c>
      <c r="B138" s="2" t="s">
        <v>217</v>
      </c>
      <c r="C138" s="2">
        <v>175</v>
      </c>
      <c r="D138" s="2" t="s">
        <v>238</v>
      </c>
      <c r="E138" s="2">
        <f t="shared" si="4"/>
        <v>175</v>
      </c>
      <c r="F138" s="2" t="str">
        <f>VLOOKUP(D138,Sheet2!D:E,2,0)</f>
        <v>vinhlong5hd</v>
      </c>
      <c r="G138" s="2" t="str">
        <f t="shared" si="5"/>
        <v>Vĩnh Long 5</v>
      </c>
      <c r="H138" s="2" t="str">
        <f>IFERROR(VLOOKUP(C138,[1]Sheet1!$A:$D,4,0),"")</f>
        <v>https://s2129132.cdn.mytvnet.vn/vimages/ed/dd/d9/94/47/74/edd94-pvnhlong5-channel-unkn.png</v>
      </c>
      <c r="I138" s="2" t="str">
        <f>IFERROR(VLOOKUP(C138,[1]Sheet1!$A:$D,2,0),"")</f>
        <v>Vĩnh Long 5</v>
      </c>
      <c r="J138" s="2" t="str">
        <f>IFERROR(VLOOKUP(C138,[1]Sheet1!$A:$D,3,0),"")</f>
        <v>rtp://232.84.3.21:11926</v>
      </c>
      <c r="K138" s="2" t="b">
        <f>D138=I138</f>
        <v>1</v>
      </c>
    </row>
    <row r="139" spans="1:11" ht="12.75" x14ac:dyDescent="0.2">
      <c r="A139" s="2">
        <v>152</v>
      </c>
      <c r="B139" s="2" t="s">
        <v>229</v>
      </c>
      <c r="C139" s="2">
        <v>339</v>
      </c>
      <c r="D139" s="2" t="s">
        <v>245</v>
      </c>
      <c r="E139" s="2">
        <f t="shared" si="4"/>
        <v>339</v>
      </c>
      <c r="F139" s="2" t="e">
        <f>VLOOKUP(D139,Sheet2!D:E,2,0)</f>
        <v>#N/A</v>
      </c>
      <c r="G139" s="2" t="str">
        <f t="shared" si="5"/>
        <v>VNPT Promo</v>
      </c>
      <c r="H139" s="2" t="str">
        <f>IFERROR(VLOOKUP(C139,[1]Sheet1!$A:$D,4,0),"")</f>
        <v>https://s2129132.cdn.mytvnet.vn/vimages/85/52/2c/cd/d8/8f/852cd-pknh0-channel-unkn.png</v>
      </c>
      <c r="I139" s="2" t="str">
        <f>IFERROR(VLOOKUP(C139,[1]Sheet1!$A:$D,2,0),"")</f>
        <v>VNPT Promo</v>
      </c>
      <c r="J139" s="2" t="str">
        <f>IFERROR(VLOOKUP(C139,[1]Sheet1!$A:$D,3,0),"")</f>
        <v>rtp://232.84.3.195:11092</v>
      </c>
      <c r="K139" s="2" t="b">
        <f>D139=I139</f>
        <v>1</v>
      </c>
    </row>
    <row r="140" spans="1:11" ht="12.75" x14ac:dyDescent="0.2">
      <c r="A140" s="2">
        <v>1</v>
      </c>
      <c r="B140" s="2" t="s">
        <v>11</v>
      </c>
      <c r="C140" s="2">
        <v>210</v>
      </c>
      <c r="D140" s="2" t="s">
        <v>793</v>
      </c>
      <c r="E140" s="2">
        <f t="shared" si="4"/>
        <v>210</v>
      </c>
      <c r="F140" s="2" t="str">
        <f>VLOOKUP(D140,Sheet2!D:E,2,0)</f>
        <v>vtv1hd</v>
      </c>
      <c r="G140" s="2" t="str">
        <f t="shared" si="5"/>
        <v>VTV1</v>
      </c>
      <c r="H140" s="2" t="str">
        <f>IFERROR(VLOOKUP(C140,[1]Sheet1!$A:$D,4,0),"")</f>
        <v>https://s2129132.cdn.mytvnet.vn/vimages/09/99/9f/f7/7a/ab/099f7-pvtv1hd-channel-unkn.png</v>
      </c>
      <c r="I140" s="2" t="str">
        <f>IFERROR(VLOOKUP(C140,[1]Sheet1!$A:$D,2,0),"")</f>
        <v>VTV1 HD</v>
      </c>
      <c r="J140" s="2" t="str">
        <f>IFERROR(VLOOKUP(C140,[1]Sheet1!$A:$D,3,0),"")</f>
        <v>rtp://232.84.1.117:10254</v>
      </c>
      <c r="K140" s="2" t="b">
        <f>D140=I140</f>
        <v>0</v>
      </c>
    </row>
    <row r="141" spans="1:11" ht="12.75" x14ac:dyDescent="0.2">
      <c r="A141" s="2">
        <v>8</v>
      </c>
      <c r="B141" s="2" t="s">
        <v>18</v>
      </c>
      <c r="C141" s="2">
        <v>212</v>
      </c>
      <c r="D141" s="2" t="s">
        <v>803</v>
      </c>
      <c r="E141" s="2">
        <f t="shared" si="4"/>
        <v>212</v>
      </c>
      <c r="F141" s="2" t="str">
        <f>VLOOKUP(D141,Sheet2!D:E,2,0)</f>
        <v>vtv10hd</v>
      </c>
      <c r="G141" s="2" t="str">
        <f t="shared" si="5"/>
        <v>VTV10</v>
      </c>
      <c r="H141" s="2" t="str">
        <f>IFERROR(VLOOKUP(C141,[1]Sheet1!$A:$D,4,0),"")</f>
        <v>https://s2129132.cdn.mytvnet.vn/vimages/b3/3f/ff/fe/eb/b5/b3ffe-lvtv10hdappc1710png-content-mytv.png</v>
      </c>
      <c r="I141" s="2" t="str">
        <f>IFERROR(VLOOKUP(C141,[1]Sheet1!$A:$D,2,0),"")</f>
        <v>VTV10 (HD)</v>
      </c>
      <c r="J141" s="2" t="str">
        <f>IFERROR(VLOOKUP(C141,[1]Sheet1!$A:$D,3,0),"")</f>
        <v>rtp://232.84.1.119:10266</v>
      </c>
      <c r="K141" s="2" t="b">
        <f>D141=I141</f>
        <v>0</v>
      </c>
    </row>
    <row r="142" spans="1:11" ht="12.75" x14ac:dyDescent="0.2">
      <c r="A142" s="2">
        <v>2</v>
      </c>
      <c r="B142" s="2" t="s">
        <v>12</v>
      </c>
      <c r="C142" s="2">
        <v>377</v>
      </c>
      <c r="D142" s="2" t="s">
        <v>794</v>
      </c>
      <c r="E142" s="2">
        <f t="shared" si="4"/>
        <v>377</v>
      </c>
      <c r="F142" s="2" t="str">
        <f>VLOOKUP(D142,Sheet2!D:E,2,0)</f>
        <v>vtv2hd</v>
      </c>
      <c r="G142" s="2" t="str">
        <f t="shared" si="5"/>
        <v>VTV2</v>
      </c>
      <c r="H142" s="2" t="str">
        <f>IFERROR(VLOOKUP(C142,[1]Sheet1!$A:$D,4,0),"")</f>
        <v>https://s2129132.cdn.mytvnet.vn/vimages/17/7c/c2/2c/c5/50/17c2c-pvtv2hd-channel-unkn.png</v>
      </c>
      <c r="I142" s="2" t="str">
        <f>IFERROR(VLOOKUP(C142,[1]Sheet1!$A:$D,2,0),"")</f>
        <v>VTV2 HD</v>
      </c>
      <c r="J142" s="2" t="str">
        <f>IFERROR(VLOOKUP(C142,[1]Sheet1!$A:$D,3,0),"")</f>
        <v>rtp://232.84.2.31:10594</v>
      </c>
      <c r="K142" s="2" t="b">
        <f>D142=I142</f>
        <v>0</v>
      </c>
    </row>
    <row r="143" spans="1:11" ht="12.75" x14ac:dyDescent="0.2">
      <c r="A143" s="2">
        <v>3</v>
      </c>
      <c r="B143" s="2" t="s">
        <v>13</v>
      </c>
      <c r="C143" s="2">
        <v>211</v>
      </c>
      <c r="D143" s="2" t="s">
        <v>795</v>
      </c>
      <c r="E143" s="2">
        <f t="shared" si="4"/>
        <v>211</v>
      </c>
      <c r="F143" s="2" t="str">
        <f>VLOOKUP(D143,Sheet2!D:E,2,0)</f>
        <v>vtv3hd</v>
      </c>
      <c r="G143" s="2" t="str">
        <f t="shared" si="5"/>
        <v>VTV3</v>
      </c>
      <c r="H143" s="2" t="str">
        <f>IFERROR(VLOOKUP(C143,[1]Sheet1!$A:$D,4,0),"")</f>
        <v>https://s2129132.cdn.mytvnet.vn/vimages/7a/a1/11/13/30/0c/7a113-pvtv3hd-channel-unkn.png</v>
      </c>
      <c r="I143" s="2" t="str">
        <f>IFERROR(VLOOKUP(C143,[1]Sheet1!$A:$D,2,0),"")</f>
        <v>VTV3 HD</v>
      </c>
      <c r="J143" s="2" t="str">
        <f>IFERROR(VLOOKUP(C143,[1]Sheet1!$A:$D,3,0),"")</f>
        <v>rtp://232.84.1.118:10260</v>
      </c>
      <c r="K143" s="2" t="b">
        <f>D143=I143</f>
        <v>0</v>
      </c>
    </row>
    <row r="144" spans="1:11" ht="12.75" x14ac:dyDescent="0.2">
      <c r="A144" s="2">
        <v>4</v>
      </c>
      <c r="B144" s="2" t="s">
        <v>14</v>
      </c>
      <c r="C144" s="2">
        <v>378</v>
      </c>
      <c r="D144" s="2" t="s">
        <v>796</v>
      </c>
      <c r="E144" s="2">
        <f t="shared" si="4"/>
        <v>378</v>
      </c>
      <c r="F144" s="2" t="str">
        <f>VLOOKUP(D144,Sheet2!D:E,2,0)</f>
        <v>vtv4hd</v>
      </c>
      <c r="G144" s="2" t="str">
        <f t="shared" si="5"/>
        <v>VTV4</v>
      </c>
      <c r="H144" s="2" t="str">
        <f>IFERROR(VLOOKUP(C144,[1]Sheet1!$A:$D,4,0),"")</f>
        <v>https://s2129132.cdn.mytvnet.vn/vimages/8f/ff/f9/93/31/1c/8ff93-pvtv4hd-channel-unkn.png</v>
      </c>
      <c r="I144" s="2" t="str">
        <f>IFERROR(VLOOKUP(C144,[1]Sheet1!$A:$D,2,0),"")</f>
        <v>VTV4 HD</v>
      </c>
      <c r="J144" s="2" t="str">
        <f>IFERROR(VLOOKUP(C144,[1]Sheet1!$A:$D,3,0),"")</f>
        <v>rtp://232.84.3.106:10600</v>
      </c>
      <c r="K144" s="2" t="b">
        <f>D144=I144</f>
        <v>0</v>
      </c>
    </row>
    <row r="145" spans="1:11" ht="12.75" x14ac:dyDescent="0.2">
      <c r="A145" s="2">
        <v>5</v>
      </c>
      <c r="B145" s="2" t="s">
        <v>15</v>
      </c>
      <c r="C145" s="2">
        <v>379</v>
      </c>
      <c r="D145" s="2" t="s">
        <v>797</v>
      </c>
      <c r="E145" s="2">
        <f t="shared" si="4"/>
        <v>379</v>
      </c>
      <c r="F145" s="2" t="str">
        <f>VLOOKUP(D145,Sheet2!D:E,2,0)</f>
        <v>vtv5hd</v>
      </c>
      <c r="G145" s="2" t="str">
        <f t="shared" si="5"/>
        <v>VTV5</v>
      </c>
      <c r="H145" s="2" t="str">
        <f>IFERROR(VLOOKUP(C145,[1]Sheet1!$A:$D,4,0),"")</f>
        <v>https://s2129132.cdn.mytvnet.vn/vimages/03/3c/c0/01/1e/e6/03c01-pvtv5hd-channel-unkn.png</v>
      </c>
      <c r="I145" s="2" t="str">
        <f>IFERROR(VLOOKUP(C145,[1]Sheet1!$A:$D,2,0),"")</f>
        <v>VTV5 HD</v>
      </c>
      <c r="J145" s="2" t="str">
        <f>IFERROR(VLOOKUP(C145,[1]Sheet1!$A:$D,3,0),"")</f>
        <v>rtp://232.84.2.33:10606</v>
      </c>
      <c r="K145" s="2" t="b">
        <f>D145=I145</f>
        <v>0</v>
      </c>
    </row>
    <row r="146" spans="1:11" ht="12.75" x14ac:dyDescent="0.2">
      <c r="A146" s="2">
        <v>68</v>
      </c>
      <c r="B146" s="2" t="s">
        <v>104</v>
      </c>
      <c r="C146" s="2">
        <v>615</v>
      </c>
      <c r="D146" s="2" t="s">
        <v>804</v>
      </c>
      <c r="E146" s="2">
        <f t="shared" si="4"/>
        <v>615</v>
      </c>
      <c r="F146" s="2" t="str">
        <f>VLOOKUP(D146,Sheet2!D:E,2,0)</f>
        <v>vtv5hdtnb</v>
      </c>
      <c r="G146" s="2" t="str">
        <f t="shared" si="5"/>
        <v>VTV5 Tây Nam Bộ</v>
      </c>
      <c r="H146" s="2" t="str">
        <f>IFERROR(VLOOKUP(C146,[1]Sheet1!$A:$D,4,0),"")</f>
        <v>https://s2129132.cdn.mytvnet.vn/vimages/48/82/2d/d6/6d/d8/482d6-pvtv5tynambhd-channel-unkn.png</v>
      </c>
      <c r="I146" s="2" t="str">
        <f>IFERROR(VLOOKUP(C146,[1]Sheet1!$A:$D,2,0),"")</f>
        <v>VTV5 Tây Nam Bộ (HD)</v>
      </c>
      <c r="J146" s="2" t="str">
        <f>IFERROR(VLOOKUP(C146,[1]Sheet1!$A:$D,3,0),"")</f>
        <v>rtp://232.84.3.86:11542</v>
      </c>
      <c r="K146" s="2" t="b">
        <f>D146=I146</f>
        <v>0</v>
      </c>
    </row>
    <row r="147" spans="1:11" ht="12.75" x14ac:dyDescent="0.2">
      <c r="A147" s="2">
        <v>71</v>
      </c>
      <c r="B147" s="2" t="s">
        <v>109</v>
      </c>
      <c r="C147" s="2">
        <v>642</v>
      </c>
      <c r="D147" s="2" t="s">
        <v>805</v>
      </c>
      <c r="E147" s="2">
        <f t="shared" si="4"/>
        <v>642</v>
      </c>
      <c r="F147" s="2" t="str">
        <f>VLOOKUP(D147,Sheet2!D:E,2,0)</f>
        <v>vtv5hdtn</v>
      </c>
      <c r="G147" s="2" t="str">
        <f t="shared" si="5"/>
        <v>VTV5 Tây Nguyên</v>
      </c>
      <c r="H147" s="2" t="str">
        <f>IFERROR(VLOOKUP(C147,[1]Sheet1!$A:$D,4,0),"")</f>
        <v>https://s2129132.cdn.mytvnet.vn/vimages/d4/46/61/1c/cf/f6/d461c-pvtv5tynguynhd-channel-unkn.png</v>
      </c>
      <c r="I147" s="2" t="str">
        <f>IFERROR(VLOOKUP(C147,[1]Sheet1!$A:$D,2,0),"")</f>
        <v>VTV5 Tây Nguyên (HD)</v>
      </c>
      <c r="J147" s="2" t="str">
        <f>IFERROR(VLOOKUP(C147,[1]Sheet1!$A:$D,3,0),"")</f>
        <v>rtp://232.84.3.66:11656</v>
      </c>
      <c r="K147" s="2" t="b">
        <f>D147=I147</f>
        <v>0</v>
      </c>
    </row>
    <row r="148" spans="1:11" ht="12.75" x14ac:dyDescent="0.2">
      <c r="A148" s="2">
        <v>7</v>
      </c>
      <c r="B148" s="2" t="s">
        <v>17</v>
      </c>
      <c r="C148" s="2">
        <v>6</v>
      </c>
      <c r="D148" s="2" t="s">
        <v>798</v>
      </c>
      <c r="E148" s="2">
        <f t="shared" si="4"/>
        <v>6</v>
      </c>
      <c r="F148" s="2" t="str">
        <f>VLOOKUP(D148,Sheet2!D:E,2,0)</f>
        <v>vtv6hd</v>
      </c>
      <c r="G148" s="2" t="str">
        <f t="shared" si="5"/>
        <v>VTV6</v>
      </c>
      <c r="H148" s="2" t="str">
        <f>IFERROR(VLOOKUP(C148,[1]Sheet1!$A:$D,4,0),"")</f>
        <v>https://s2129132.cdn.mytvnet.vn/vimages/9b/b0/05/5c/c3/31/9b05c-pvtv6ththaohd-channel-unkn.png</v>
      </c>
      <c r="I148" s="2" t="str">
        <f>IFERROR(VLOOKUP(C148,[1]Sheet1!$A:$D,2,0),"")</f>
        <v>VTV6 HD</v>
      </c>
      <c r="J148" s="2" t="str">
        <f>IFERROR(VLOOKUP(C148,[1]Sheet1!$A:$D,3,0),"")</f>
        <v>rtp://232.84.3.18:11944</v>
      </c>
      <c r="K148" s="2" t="b">
        <f>D148=I148</f>
        <v>0</v>
      </c>
    </row>
    <row r="149" spans="1:11" ht="12.75" x14ac:dyDescent="0.2">
      <c r="A149" s="2">
        <v>10</v>
      </c>
      <c r="B149" s="2" t="s">
        <v>20</v>
      </c>
      <c r="C149" s="2">
        <v>459</v>
      </c>
      <c r="D149" s="2" t="s">
        <v>799</v>
      </c>
      <c r="E149" s="2">
        <f t="shared" si="4"/>
        <v>459</v>
      </c>
      <c r="F149" s="2" t="str">
        <f>VLOOKUP(D149,Sheet2!D:E,2,0)</f>
        <v>vtv7hd</v>
      </c>
      <c r="G149" s="2" t="str">
        <f t="shared" si="5"/>
        <v>VTV7</v>
      </c>
      <c r="H149" s="2" t="str">
        <f>IFERROR(VLOOKUP(C149,[1]Sheet1!$A:$D,4,0),"")</f>
        <v>https://s2129132.cdn.mytvnet.vn/vimages/e5/53/33/33/33/3c/e5333-pvtv7hd-channel-unkn.png</v>
      </c>
      <c r="I149" s="2" t="str">
        <f>IFERROR(VLOOKUP(C149,[1]Sheet1!$A:$D,2,0),"")</f>
        <v>VTV7 HD</v>
      </c>
      <c r="J149" s="2" t="str">
        <f>IFERROR(VLOOKUP(C149,[1]Sheet1!$A:$D,3,0),"")</f>
        <v>rtp://232.84.2.202:10996</v>
      </c>
      <c r="K149" s="2" t="b">
        <f>D149=I149</f>
        <v>0</v>
      </c>
    </row>
    <row r="150" spans="1:11" ht="12.75" x14ac:dyDescent="0.2">
      <c r="A150" s="2">
        <v>50</v>
      </c>
      <c r="B150" s="2" t="s">
        <v>78</v>
      </c>
      <c r="C150" s="2">
        <v>380</v>
      </c>
      <c r="D150" s="2" t="s">
        <v>800</v>
      </c>
      <c r="E150" s="2">
        <f t="shared" si="4"/>
        <v>380</v>
      </c>
      <c r="F150" s="2" t="str">
        <f>VLOOKUP(D150,Sheet2!D:E,2,0)</f>
        <v>vtv8hd</v>
      </c>
      <c r="G150" s="2" t="str">
        <f t="shared" si="5"/>
        <v>VTV8</v>
      </c>
      <c r="H150" s="2" t="str">
        <f>IFERROR(VLOOKUP(C150,[1]Sheet1!$A:$D,4,0),"")</f>
        <v>https://s2129132.cdn.mytvnet.vn/vimages/0f/f4/4d/d7/75/51/0f4d7-pvtv8hd-channel-unkn.png</v>
      </c>
      <c r="I150" s="2" t="str">
        <f>IFERROR(VLOOKUP(C150,[1]Sheet1!$A:$D,2,0),"")</f>
        <v>VTV8 HD</v>
      </c>
      <c r="J150" s="2" t="str">
        <f>IFERROR(VLOOKUP(C150,[1]Sheet1!$A:$D,3,0),"")</f>
        <v>rtp://232.84.3.104:10612</v>
      </c>
      <c r="K150" s="2" t="b">
        <f>D150=I150</f>
        <v>0</v>
      </c>
    </row>
    <row r="151" spans="1:11" ht="12.75" x14ac:dyDescent="0.2">
      <c r="A151" s="2">
        <v>63</v>
      </c>
      <c r="B151" s="2" t="s">
        <v>98</v>
      </c>
      <c r="C151" s="2">
        <v>381</v>
      </c>
      <c r="D151" s="2" t="s">
        <v>801</v>
      </c>
      <c r="E151" s="2">
        <f t="shared" si="4"/>
        <v>381</v>
      </c>
      <c r="F151" s="2" t="str">
        <f>VLOOKUP(D151,Sheet2!D:E,2,0)</f>
        <v>vtv9hd</v>
      </c>
      <c r="G151" s="2" t="str">
        <f t="shared" si="5"/>
        <v>VTV9</v>
      </c>
      <c r="H151" s="2" t="str">
        <f>IFERROR(VLOOKUP(C151,[1]Sheet1!$A:$D,4,0),"")</f>
        <v>https://s2129132.cdn.mytvnet.vn/vimages/d3/35/5e/e2/26/62/d35e2-pvtv9hd-channel-unkn.png</v>
      </c>
      <c r="I151" s="2" t="str">
        <f>IFERROR(VLOOKUP(C151,[1]Sheet1!$A:$D,2,0),"")</f>
        <v>VTV9 HD</v>
      </c>
      <c r="J151" s="2" t="str">
        <f>IFERROR(VLOOKUP(C151,[1]Sheet1!$A:$D,3,0),"")</f>
        <v>rtp://232.84.2.35:10618</v>
      </c>
      <c r="K151" s="2" t="b">
        <f>D151=I151</f>
        <v>0</v>
      </c>
    </row>
    <row r="152" spans="1:11" ht="12.75" x14ac:dyDescent="0.2">
      <c r="A152" s="2">
        <v>112</v>
      </c>
      <c r="B152" s="2" t="s">
        <v>166</v>
      </c>
      <c r="C152" s="2">
        <v>597</v>
      </c>
      <c r="D152" s="2" t="s">
        <v>802</v>
      </c>
      <c r="E152" s="2">
        <f t="shared" si="4"/>
        <v>597</v>
      </c>
      <c r="F152" s="2" t="str">
        <f>VLOOKUP(D152,Sheet2!D:E,2,0)</f>
        <v>warnertvhd</v>
      </c>
      <c r="G152" s="2" t="str">
        <f t="shared" si="5"/>
        <v>Warner</v>
      </c>
      <c r="H152" s="2" t="str">
        <f>IFERROR(VLOOKUP(C152,[1]Sheet1!$A:$D,4,0),"")</f>
        <v>https://s2129132.cdn.mytvnet.vn/vimages/3e/e1/1d/df/f7/7c/3e1df-pwarnerhd-channel-unkn.png</v>
      </c>
      <c r="I152" s="2" t="str">
        <f>IFERROR(VLOOKUP(C152,[1]Sheet1!$A:$D,2,0),"")</f>
        <v>Warner HD</v>
      </c>
      <c r="J152" s="2">
        <f>IFERROR(VLOOKUP(C152,[1]Sheet1!$A:$D,3,0),"")</f>
        <v>0</v>
      </c>
      <c r="K152" s="2" t="b">
        <f>D152=I152</f>
        <v>0</v>
      </c>
    </row>
    <row r="153" spans="1:11" ht="12.75" x14ac:dyDescent="0.2">
      <c r="A153" s="2">
        <v>42</v>
      </c>
      <c r="B153" s="2" t="s">
        <v>67</v>
      </c>
      <c r="C153" s="2">
        <v>869</v>
      </c>
      <c r="D153" s="2" t="s">
        <v>243</v>
      </c>
      <c r="E153" s="2">
        <f t="shared" si="4"/>
        <v>869</v>
      </c>
      <c r="F153" s="2" t="str">
        <f>VLOOKUP(D153,Sheet2!D:E,2,0)</f>
        <v>woman</v>
      </c>
      <c r="G153" s="2" t="str">
        <f t="shared" si="5"/>
        <v>Woman</v>
      </c>
      <c r="H153" s="2" t="str">
        <f>IFERROR(VLOOKUP(C153,[1]Sheet1!$A:$D,4,0),"")</f>
        <v>https://s2129132.cdn.mytvnet.vn/vimages/34/40/05/5b/b7/72/3405b-pwomen-channel-unkn.png</v>
      </c>
      <c r="I153" s="2" t="str">
        <f>IFERROR(VLOOKUP(C153,[1]Sheet1!$A:$D,2,0),"")</f>
        <v>Woman</v>
      </c>
      <c r="J153" s="2" t="str">
        <f>IFERROR(VLOOKUP(C153,[1]Sheet1!$A:$D,3,0),"")</f>
        <v>rtp://232.84.1.59:8334</v>
      </c>
      <c r="K153" s="2" t="b">
        <f>D153=I153</f>
        <v>1</v>
      </c>
    </row>
    <row r="154" spans="1:11" ht="12.75" x14ac:dyDescent="0.2">
      <c r="J154" s="2"/>
    </row>
    <row r="155" spans="1:11" ht="12.75" x14ac:dyDescent="0.2">
      <c r="J155" s="2"/>
    </row>
    <row r="156" spans="1:11" ht="12.75" x14ac:dyDescent="0.2">
      <c r="J156" s="2"/>
    </row>
    <row r="157" spans="1:11" ht="12.75" x14ac:dyDescent="0.2">
      <c r="J157" s="2"/>
    </row>
    <row r="158" spans="1:11" ht="12.75" x14ac:dyDescent="0.2">
      <c r="J158" s="2"/>
    </row>
    <row r="159" spans="1:11" ht="12.75" x14ac:dyDescent="0.2">
      <c r="J159" s="2"/>
    </row>
    <row r="160" spans="1:11" ht="12.75" x14ac:dyDescent="0.2">
      <c r="J160" s="2"/>
    </row>
    <row r="161" spans="10:10" ht="12.75" x14ac:dyDescent="0.2">
      <c r="J161" s="2"/>
    </row>
    <row r="162" spans="10:10" ht="12.75" x14ac:dyDescent="0.2">
      <c r="J162" s="2"/>
    </row>
    <row r="163" spans="10:10" ht="12.75" x14ac:dyDescent="0.2">
      <c r="J163" s="2"/>
    </row>
    <row r="164" spans="10:10" ht="12.75" x14ac:dyDescent="0.2">
      <c r="J164" s="2"/>
    </row>
    <row r="165" spans="10:10" ht="12.75" x14ac:dyDescent="0.2">
      <c r="J165" s="2"/>
    </row>
    <row r="166" spans="10:10" ht="12.75" x14ac:dyDescent="0.2">
      <c r="J166" s="2"/>
    </row>
    <row r="167" spans="10:10" ht="12.75" x14ac:dyDescent="0.2">
      <c r="J167" s="2"/>
    </row>
    <row r="168" spans="10:10" ht="12.75" x14ac:dyDescent="0.2">
      <c r="J168" s="2"/>
    </row>
    <row r="169" spans="10:10" ht="12.75" x14ac:dyDescent="0.2">
      <c r="J169" s="2"/>
    </row>
    <row r="170" spans="10:10" ht="12.75" x14ac:dyDescent="0.2">
      <c r="J170" s="2"/>
    </row>
    <row r="171" spans="10:10" ht="12.75" x14ac:dyDescent="0.2">
      <c r="J171" s="2"/>
    </row>
    <row r="172" spans="10:10" ht="12.75" x14ac:dyDescent="0.2">
      <c r="J172" s="2"/>
    </row>
    <row r="173" spans="10:10" ht="12.75" x14ac:dyDescent="0.2">
      <c r="J173" s="2"/>
    </row>
    <row r="174" spans="10:10" ht="12.75" x14ac:dyDescent="0.2">
      <c r="J174" s="2"/>
    </row>
    <row r="175" spans="10:10" ht="12.75" x14ac:dyDescent="0.2">
      <c r="J175" s="2"/>
    </row>
    <row r="176" spans="10:10" ht="12.75" x14ac:dyDescent="0.2">
      <c r="J176" s="2"/>
    </row>
    <row r="177" spans="10:10" ht="12.75" x14ac:dyDescent="0.2">
      <c r="J177" s="2"/>
    </row>
    <row r="178" spans="10:10" ht="12.75" x14ac:dyDescent="0.2">
      <c r="J178" s="2"/>
    </row>
    <row r="179" spans="10:10" ht="12.75" x14ac:dyDescent="0.2">
      <c r="J179" s="2"/>
    </row>
    <row r="180" spans="10:10" ht="12.75" x14ac:dyDescent="0.2">
      <c r="J180" s="2"/>
    </row>
    <row r="181" spans="10:10" ht="12.75" x14ac:dyDescent="0.2">
      <c r="J181" s="2"/>
    </row>
    <row r="182" spans="10:10" ht="12.75" x14ac:dyDescent="0.2">
      <c r="J182" s="2"/>
    </row>
    <row r="183" spans="10:10" ht="12.75" x14ac:dyDescent="0.2">
      <c r="J183" s="2"/>
    </row>
    <row r="184" spans="10:10" ht="12.75" x14ac:dyDescent="0.2">
      <c r="J184" s="2"/>
    </row>
    <row r="185" spans="10:10" ht="12.75" x14ac:dyDescent="0.2">
      <c r="J185" s="2"/>
    </row>
    <row r="186" spans="10:10" ht="12.75" x14ac:dyDescent="0.2">
      <c r="J186" s="2"/>
    </row>
    <row r="187" spans="10:10" ht="12.75" x14ac:dyDescent="0.2">
      <c r="J187" s="2"/>
    </row>
    <row r="188" spans="10:10" ht="12.75" x14ac:dyDescent="0.2">
      <c r="J188" s="2"/>
    </row>
    <row r="189" spans="10:10" ht="12.75" x14ac:dyDescent="0.2">
      <c r="J189" s="2"/>
    </row>
  </sheetData>
  <autoFilter ref="A1:K189" xr:uid="{00000000-0009-0000-0000-000000000000}">
    <sortState xmlns:xlrd2="http://schemas.microsoft.com/office/spreadsheetml/2017/richdata2" ref="A2:K189">
      <sortCondition ref="D1:D189"/>
    </sortState>
  </autoFilter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7D04E-B8C6-485C-9151-92D45CDA8C61}">
  <dimension ref="A1:E250"/>
  <sheetViews>
    <sheetView topLeftCell="A130" workbookViewId="0">
      <selection activeCell="B131" sqref="B131"/>
    </sheetView>
  </sheetViews>
  <sheetFormatPr defaultRowHeight="15" x14ac:dyDescent="0.25"/>
  <cols>
    <col min="1" max="1" width="31.42578125" bestFit="1" customWidth="1"/>
    <col min="2" max="2" width="59.5703125" bestFit="1" customWidth="1"/>
    <col min="3" max="3" width="17" bestFit="1" customWidth="1"/>
    <col min="4" max="4" width="29.7109375" bestFit="1" customWidth="1"/>
    <col min="5" max="5" width="17" bestFit="1" customWidth="1"/>
  </cols>
  <sheetData>
    <row r="1" spans="1:5" x14ac:dyDescent="0.25">
      <c r="A1" t="s">
        <v>246</v>
      </c>
      <c r="B1" t="s">
        <v>6</v>
      </c>
      <c r="C1" t="s">
        <v>246</v>
      </c>
      <c r="D1" t="s">
        <v>6</v>
      </c>
      <c r="E1" t="s">
        <v>246</v>
      </c>
    </row>
    <row r="2" spans="1:5" x14ac:dyDescent="0.25">
      <c r="A2" t="s">
        <v>247</v>
      </c>
      <c r="B2" t="s">
        <v>248</v>
      </c>
      <c r="C2" t="str">
        <f>MID(A2,FIND("=",A2,1)+2,FIND("&gt;",A2,1)-FIND("=",A2,1)-3)</f>
        <v>vtv1hd</v>
      </c>
      <c r="D2" t="str">
        <f>MID(B2,FIND("&gt;",B2,1)+1,FIND("/",B2,1)-FIND("&gt;",B2,1)-2)</f>
        <v>VTV1</v>
      </c>
      <c r="E2" t="str">
        <f>C2</f>
        <v>vtv1hd</v>
      </c>
    </row>
    <row r="3" spans="1:5" x14ac:dyDescent="0.25">
      <c r="A3" t="s">
        <v>249</v>
      </c>
      <c r="B3" t="s">
        <v>250</v>
      </c>
      <c r="C3" t="str">
        <f t="shared" ref="C3:C66" si="0">MID(A3,FIND("=",A3,1)+2,FIND("&gt;",A3,1)-FIND("=",A3,1)-3)</f>
        <v>vtv2hd</v>
      </c>
      <c r="D3" t="str">
        <f t="shared" ref="D3:D66" si="1">MID(B3,FIND("&gt;",B3,1)+1,FIND("/",B3,1)-FIND("&gt;",B3,1)-2)</f>
        <v>VTV2</v>
      </c>
      <c r="E3" t="str">
        <f t="shared" ref="E3:E66" si="2">C3</f>
        <v>vtv2hd</v>
      </c>
    </row>
    <row r="4" spans="1:5" x14ac:dyDescent="0.25">
      <c r="A4" t="s">
        <v>251</v>
      </c>
      <c r="B4" t="s">
        <v>252</v>
      </c>
      <c r="C4" t="str">
        <f t="shared" si="0"/>
        <v>vtv3hd</v>
      </c>
      <c r="D4" t="str">
        <f t="shared" si="1"/>
        <v>VTV3</v>
      </c>
      <c r="E4" t="str">
        <f t="shared" si="2"/>
        <v>vtv3hd</v>
      </c>
    </row>
    <row r="5" spans="1:5" x14ac:dyDescent="0.25">
      <c r="A5" t="s">
        <v>253</v>
      </c>
      <c r="B5" t="s">
        <v>254</v>
      </c>
      <c r="C5" t="str">
        <f t="shared" si="0"/>
        <v>vtv4hd</v>
      </c>
      <c r="D5" t="str">
        <f t="shared" si="1"/>
        <v>VTV4</v>
      </c>
      <c r="E5" t="str">
        <f t="shared" si="2"/>
        <v>vtv4hd</v>
      </c>
    </row>
    <row r="6" spans="1:5" x14ac:dyDescent="0.25">
      <c r="A6" t="s">
        <v>255</v>
      </c>
      <c r="B6" t="s">
        <v>256</v>
      </c>
      <c r="C6" t="str">
        <f t="shared" si="0"/>
        <v>vietnamtoday</v>
      </c>
      <c r="D6" t="str">
        <f t="shared" si="1"/>
        <v>Vietnam Today</v>
      </c>
      <c r="E6" t="str">
        <f t="shared" si="2"/>
        <v>vietnamtoday</v>
      </c>
    </row>
    <row r="7" spans="1:5" x14ac:dyDescent="0.25">
      <c r="A7" t="s">
        <v>257</v>
      </c>
      <c r="B7" t="s">
        <v>258</v>
      </c>
      <c r="C7" t="str">
        <f t="shared" si="0"/>
        <v>vtv5hd</v>
      </c>
      <c r="D7" t="str">
        <f t="shared" si="1"/>
        <v>VTV5</v>
      </c>
      <c r="E7" t="str">
        <f t="shared" si="2"/>
        <v>vtv5hd</v>
      </c>
    </row>
    <row r="8" spans="1:5" x14ac:dyDescent="0.25">
      <c r="A8" t="s">
        <v>259</v>
      </c>
      <c r="B8" t="s">
        <v>260</v>
      </c>
      <c r="C8" t="str">
        <f t="shared" si="0"/>
        <v>vtv6hd</v>
      </c>
      <c r="D8" t="str">
        <f t="shared" si="1"/>
        <v>VTV6</v>
      </c>
      <c r="E8" t="str">
        <f t="shared" si="2"/>
        <v>vtv6hd</v>
      </c>
    </row>
    <row r="9" spans="1:5" x14ac:dyDescent="0.25">
      <c r="A9" t="s">
        <v>261</v>
      </c>
      <c r="B9" t="s">
        <v>262</v>
      </c>
      <c r="C9" t="str">
        <f t="shared" si="0"/>
        <v>vtv5hdtnb</v>
      </c>
      <c r="D9" t="str">
        <f t="shared" si="1"/>
        <v>VTV5 Tây Nam Bộ</v>
      </c>
      <c r="E9" t="str">
        <f t="shared" si="2"/>
        <v>vtv5hdtnb</v>
      </c>
    </row>
    <row r="10" spans="1:5" x14ac:dyDescent="0.25">
      <c r="A10" t="s">
        <v>263</v>
      </c>
      <c r="B10" t="s">
        <v>264</v>
      </c>
      <c r="C10" t="str">
        <f t="shared" si="0"/>
        <v>vtv5hdtn</v>
      </c>
      <c r="D10" t="str">
        <f t="shared" si="1"/>
        <v>VTV5 Tây Nguyên</v>
      </c>
      <c r="E10" t="str">
        <f t="shared" si="2"/>
        <v>vtv5hdtn</v>
      </c>
    </row>
    <row r="11" spans="1:5" x14ac:dyDescent="0.25">
      <c r="A11" t="s">
        <v>265</v>
      </c>
      <c r="B11" t="s">
        <v>266</v>
      </c>
      <c r="C11" t="str">
        <f t="shared" si="0"/>
        <v>vtv7hd</v>
      </c>
      <c r="D11" t="str">
        <f t="shared" si="1"/>
        <v>VTV7</v>
      </c>
      <c r="E11" t="str">
        <f t="shared" si="2"/>
        <v>vtv7hd</v>
      </c>
    </row>
    <row r="12" spans="1:5" x14ac:dyDescent="0.25">
      <c r="A12" t="s">
        <v>267</v>
      </c>
      <c r="B12" t="s">
        <v>268</v>
      </c>
      <c r="C12" t="str">
        <f t="shared" si="0"/>
        <v>vtv8hd</v>
      </c>
      <c r="D12" t="str">
        <f t="shared" si="1"/>
        <v>VTV8</v>
      </c>
      <c r="E12" t="str">
        <f t="shared" si="2"/>
        <v>vtv8hd</v>
      </c>
    </row>
    <row r="13" spans="1:5" x14ac:dyDescent="0.25">
      <c r="A13" t="s">
        <v>269</v>
      </c>
      <c r="B13" t="s">
        <v>270</v>
      </c>
      <c r="C13" t="str">
        <f t="shared" si="0"/>
        <v>vtv9hd</v>
      </c>
      <c r="D13" t="str">
        <f t="shared" si="1"/>
        <v>VTV9</v>
      </c>
      <c r="E13" t="str">
        <f t="shared" si="2"/>
        <v>vtv9hd</v>
      </c>
    </row>
    <row r="14" spans="1:5" x14ac:dyDescent="0.25">
      <c r="A14" t="s">
        <v>271</v>
      </c>
      <c r="B14" t="s">
        <v>272</v>
      </c>
      <c r="C14" t="str">
        <f t="shared" si="0"/>
        <v>vtv10hd</v>
      </c>
      <c r="D14" t="str">
        <f t="shared" si="1"/>
        <v>VTV10</v>
      </c>
      <c r="E14" t="str">
        <f t="shared" si="2"/>
        <v>vtv10hd</v>
      </c>
    </row>
    <row r="15" spans="1:5" x14ac:dyDescent="0.25">
      <c r="A15" t="s">
        <v>273</v>
      </c>
      <c r="B15" t="s">
        <v>274</v>
      </c>
      <c r="C15" t="str">
        <f t="shared" si="0"/>
        <v>antvhd</v>
      </c>
      <c r="D15" t="str">
        <f t="shared" si="1"/>
        <v>ANTV</v>
      </c>
      <c r="E15" t="str">
        <f t="shared" si="2"/>
        <v>antvhd</v>
      </c>
    </row>
    <row r="16" spans="1:5" x14ac:dyDescent="0.25">
      <c r="A16" t="s">
        <v>275</v>
      </c>
      <c r="B16" t="s">
        <v>276</v>
      </c>
      <c r="C16" t="str">
        <f t="shared" si="0"/>
        <v>qpvnhd</v>
      </c>
      <c r="D16" t="str">
        <f t="shared" si="1"/>
        <v>QPVN</v>
      </c>
      <c r="E16" t="str">
        <f t="shared" si="2"/>
        <v>qpvnhd</v>
      </c>
    </row>
    <row r="17" spans="1:5" x14ac:dyDescent="0.25">
      <c r="A17" t="s">
        <v>277</v>
      </c>
      <c r="B17" t="s">
        <v>278</v>
      </c>
      <c r="C17" t="str">
        <f t="shared" si="0"/>
        <v>onsports</v>
      </c>
      <c r="D17" t="str">
        <f t="shared" si="1"/>
        <v>ON Sports</v>
      </c>
      <c r="E17" t="str">
        <f t="shared" si="2"/>
        <v>onsports</v>
      </c>
    </row>
    <row r="18" spans="1:5" x14ac:dyDescent="0.25">
      <c r="A18" t="s">
        <v>279</v>
      </c>
      <c r="B18" t="s">
        <v>280</v>
      </c>
      <c r="C18" t="str">
        <f t="shared" si="0"/>
        <v>onsportsplus</v>
      </c>
      <c r="D18" t="str">
        <f t="shared" si="1"/>
        <v>ON Sports+</v>
      </c>
      <c r="E18" t="str">
        <f t="shared" si="2"/>
        <v>onsportsplus</v>
      </c>
    </row>
    <row r="19" spans="1:5" x14ac:dyDescent="0.25">
      <c r="A19" t="s">
        <v>281</v>
      </c>
      <c r="B19" t="s">
        <v>282</v>
      </c>
      <c r="C19" t="str">
        <f t="shared" si="0"/>
        <v>onfootball</v>
      </c>
      <c r="D19" t="str">
        <f t="shared" si="1"/>
        <v>ON Football</v>
      </c>
      <c r="E19" t="str">
        <f t="shared" si="2"/>
        <v>onfootball</v>
      </c>
    </row>
    <row r="20" spans="1:5" x14ac:dyDescent="0.25">
      <c r="A20" t="s">
        <v>283</v>
      </c>
      <c r="B20" t="s">
        <v>284</v>
      </c>
      <c r="C20" t="str">
        <f t="shared" si="0"/>
        <v>onsportsnews</v>
      </c>
      <c r="D20" t="str">
        <f t="shared" si="1"/>
        <v>ON Sports News</v>
      </c>
      <c r="E20" t="str">
        <f t="shared" si="2"/>
        <v>onsportsnews</v>
      </c>
    </row>
    <row r="21" spans="1:5" x14ac:dyDescent="0.25">
      <c r="A21" t="s">
        <v>285</v>
      </c>
      <c r="B21" t="s">
        <v>286</v>
      </c>
      <c r="C21" t="str">
        <f t="shared" si="0"/>
        <v>ongolf</v>
      </c>
      <c r="D21" t="str">
        <f t="shared" si="1"/>
        <v>ON Golf</v>
      </c>
      <c r="E21" t="str">
        <f t="shared" si="2"/>
        <v>ongolf</v>
      </c>
    </row>
    <row r="22" spans="1:5" x14ac:dyDescent="0.25">
      <c r="A22" t="s">
        <v>287</v>
      </c>
      <c r="B22" t="s">
        <v>288</v>
      </c>
      <c r="C22" t="str">
        <f t="shared" si="0"/>
        <v>onviegiaitri</v>
      </c>
      <c r="D22" t="str">
        <f t="shared" si="1"/>
        <v>ON Vie Giải Trí</v>
      </c>
      <c r="E22" t="str">
        <f t="shared" si="2"/>
        <v>onviegiaitri</v>
      </c>
    </row>
    <row r="23" spans="1:5" x14ac:dyDescent="0.25">
      <c r="A23" t="s">
        <v>289</v>
      </c>
      <c r="B23" t="s">
        <v>290</v>
      </c>
      <c r="C23" t="str">
        <f t="shared" si="0"/>
        <v>onphimviet</v>
      </c>
      <c r="D23" t="str">
        <f t="shared" si="1"/>
        <v>ON Phim Việt</v>
      </c>
      <c r="E23" t="str">
        <f t="shared" si="2"/>
        <v>onphimviet</v>
      </c>
    </row>
    <row r="24" spans="1:5" x14ac:dyDescent="0.25">
      <c r="A24" t="s">
        <v>291</v>
      </c>
      <c r="B24" t="s">
        <v>292</v>
      </c>
      <c r="C24" t="str">
        <f t="shared" si="0"/>
        <v>onmovies</v>
      </c>
      <c r="D24" t="str">
        <f t="shared" si="1"/>
        <v>ON Movies</v>
      </c>
      <c r="E24" t="str">
        <f t="shared" si="2"/>
        <v>onmovies</v>
      </c>
    </row>
    <row r="25" spans="1:5" x14ac:dyDescent="0.25">
      <c r="A25" t="s">
        <v>293</v>
      </c>
      <c r="B25" t="s">
        <v>294</v>
      </c>
      <c r="C25" t="str">
        <f t="shared" si="0"/>
        <v>onechannel</v>
      </c>
      <c r="D25" t="str">
        <f t="shared" si="1"/>
        <v>ON E Channel</v>
      </c>
      <c r="E25" t="str">
        <f t="shared" si="2"/>
        <v>onechannel</v>
      </c>
    </row>
    <row r="26" spans="1:5" x14ac:dyDescent="0.25">
      <c r="A26" t="s">
        <v>295</v>
      </c>
      <c r="B26" t="s">
        <v>296</v>
      </c>
      <c r="C26" t="str">
        <f t="shared" si="0"/>
        <v>oncine</v>
      </c>
      <c r="D26" t="str">
        <f t="shared" si="1"/>
        <v>ON Cine</v>
      </c>
      <c r="E26" t="str">
        <f t="shared" si="2"/>
        <v>oncine</v>
      </c>
    </row>
    <row r="27" spans="1:5" x14ac:dyDescent="0.25">
      <c r="A27" t="s">
        <v>297</v>
      </c>
      <c r="B27" t="s">
        <v>298</v>
      </c>
      <c r="C27" t="str">
        <f t="shared" si="0"/>
        <v>onbibi</v>
      </c>
      <c r="D27" t="str">
        <f t="shared" si="1"/>
        <v>ON BiBi</v>
      </c>
      <c r="E27" t="str">
        <f t="shared" si="2"/>
        <v>onbibi</v>
      </c>
    </row>
    <row r="28" spans="1:5" x14ac:dyDescent="0.25">
      <c r="A28" t="s">
        <v>299</v>
      </c>
      <c r="B28" t="s">
        <v>300</v>
      </c>
      <c r="C28" t="str">
        <f t="shared" si="0"/>
        <v>oninfotv</v>
      </c>
      <c r="D28" t="str">
        <f t="shared" si="1"/>
        <v>ON Info TV</v>
      </c>
      <c r="E28" t="str">
        <f t="shared" si="2"/>
        <v>oninfotv</v>
      </c>
    </row>
    <row r="29" spans="1:5" x14ac:dyDescent="0.25">
      <c r="A29" t="s">
        <v>301</v>
      </c>
      <c r="B29" t="s">
        <v>302</v>
      </c>
      <c r="C29" t="str">
        <f t="shared" si="0"/>
        <v>ono2tv</v>
      </c>
      <c r="D29" t="str">
        <f t="shared" si="1"/>
        <v>ON O2TV</v>
      </c>
      <c r="E29" t="str">
        <f t="shared" si="2"/>
        <v>ono2tv</v>
      </c>
    </row>
    <row r="30" spans="1:5" x14ac:dyDescent="0.25">
      <c r="A30" t="s">
        <v>303</v>
      </c>
      <c r="B30" t="s">
        <v>304</v>
      </c>
      <c r="C30" t="str">
        <f t="shared" si="0"/>
        <v>onstyle</v>
      </c>
      <c r="D30" t="str">
        <f t="shared" si="1"/>
        <v>ON Style TV</v>
      </c>
      <c r="E30" t="str">
        <f t="shared" si="2"/>
        <v>onstyle</v>
      </c>
    </row>
    <row r="31" spans="1:5" x14ac:dyDescent="0.25">
      <c r="A31" t="s">
        <v>305</v>
      </c>
      <c r="B31" t="s">
        <v>306</v>
      </c>
      <c r="C31" t="str">
        <f t="shared" si="0"/>
        <v>onmusic</v>
      </c>
      <c r="D31" t="str">
        <f t="shared" si="1"/>
        <v>ON Music</v>
      </c>
      <c r="E31" t="str">
        <f t="shared" si="2"/>
        <v>onmusic</v>
      </c>
    </row>
    <row r="32" spans="1:5" x14ac:dyDescent="0.25">
      <c r="A32" t="s">
        <v>307</v>
      </c>
      <c r="B32" t="s">
        <v>308</v>
      </c>
      <c r="C32" t="str">
        <f t="shared" si="0"/>
        <v>ontrending</v>
      </c>
      <c r="D32" t="str">
        <f t="shared" si="1"/>
        <v>ON Trending</v>
      </c>
      <c r="E32" t="str">
        <f t="shared" si="2"/>
        <v>ontrending</v>
      </c>
    </row>
    <row r="33" spans="1:5" x14ac:dyDescent="0.25">
      <c r="A33" t="s">
        <v>309</v>
      </c>
      <c r="B33" t="s">
        <v>310</v>
      </c>
      <c r="C33" t="str">
        <f t="shared" si="0"/>
        <v>onviedramas</v>
      </c>
      <c r="D33" t="str">
        <f t="shared" si="1"/>
        <v>ON Vie Dramas</v>
      </c>
      <c r="E33" t="str">
        <f t="shared" si="2"/>
        <v>onviedramas</v>
      </c>
    </row>
    <row r="34" spans="1:5" x14ac:dyDescent="0.25">
      <c r="A34" t="s">
        <v>311</v>
      </c>
      <c r="B34" t="s">
        <v>312</v>
      </c>
      <c r="C34" t="str">
        <f t="shared" si="0"/>
        <v>onvfamily</v>
      </c>
      <c r="D34" t="str">
        <f t="shared" si="1"/>
        <v>ON VFamily</v>
      </c>
      <c r="E34" t="str">
        <f t="shared" si="2"/>
        <v>onvfamily</v>
      </c>
    </row>
    <row r="35" spans="1:5" x14ac:dyDescent="0.25">
      <c r="A35" t="s">
        <v>313</v>
      </c>
      <c r="B35" t="s">
        <v>314</v>
      </c>
      <c r="C35" t="str">
        <f t="shared" si="0"/>
        <v>onkids</v>
      </c>
      <c r="D35" t="str">
        <f t="shared" si="1"/>
        <v>ON Kids</v>
      </c>
      <c r="E35" t="str">
        <f t="shared" si="2"/>
        <v>onkids</v>
      </c>
    </row>
    <row r="36" spans="1:5" x14ac:dyDescent="0.25">
      <c r="A36" t="s">
        <v>315</v>
      </c>
      <c r="B36" t="s">
        <v>316</v>
      </c>
      <c r="C36" t="str">
        <f t="shared" si="0"/>
        <v>onlife</v>
      </c>
      <c r="D36" t="str">
        <f t="shared" si="1"/>
        <v>ON Life</v>
      </c>
      <c r="E36" t="str">
        <f t="shared" si="2"/>
        <v>onlife</v>
      </c>
    </row>
    <row r="37" spans="1:5" x14ac:dyDescent="0.25">
      <c r="A37" t="s">
        <v>317</v>
      </c>
      <c r="B37" t="s">
        <v>318</v>
      </c>
      <c r="C37" t="str">
        <f t="shared" si="0"/>
        <v>htv1</v>
      </c>
      <c r="D37" t="str">
        <f t="shared" si="1"/>
        <v>HTV1</v>
      </c>
      <c r="E37" t="str">
        <f t="shared" si="2"/>
        <v>htv1</v>
      </c>
    </row>
    <row r="38" spans="1:5" x14ac:dyDescent="0.25">
      <c r="A38" t="s">
        <v>319</v>
      </c>
      <c r="B38" t="s">
        <v>753</v>
      </c>
      <c r="C38" t="str">
        <f t="shared" si="0"/>
        <v>htv2hd</v>
      </c>
      <c r="D38" t="str">
        <f t="shared" si="1"/>
        <v>HTV2</v>
      </c>
      <c r="E38" t="str">
        <f t="shared" si="2"/>
        <v>htv2hd</v>
      </c>
    </row>
    <row r="39" spans="1:5" x14ac:dyDescent="0.25">
      <c r="A39" t="s">
        <v>320</v>
      </c>
      <c r="B39" t="s">
        <v>321</v>
      </c>
      <c r="C39" t="str">
        <f t="shared" si="0"/>
        <v>htv3</v>
      </c>
      <c r="D39" t="str">
        <f t="shared" si="1"/>
        <v>HTV3</v>
      </c>
      <c r="E39" t="str">
        <f t="shared" si="2"/>
        <v>htv3</v>
      </c>
    </row>
    <row r="40" spans="1:5" x14ac:dyDescent="0.25">
      <c r="A40" t="s">
        <v>322</v>
      </c>
      <c r="B40" t="s">
        <v>323</v>
      </c>
      <c r="C40" t="str">
        <f t="shared" si="0"/>
        <v>htv4</v>
      </c>
      <c r="D40" t="str">
        <f t="shared" si="1"/>
        <v>HTV4</v>
      </c>
      <c r="E40" t="str">
        <f t="shared" si="2"/>
        <v>htv4</v>
      </c>
    </row>
    <row r="41" spans="1:5" x14ac:dyDescent="0.25">
      <c r="A41" t="s">
        <v>324</v>
      </c>
      <c r="B41" t="s">
        <v>754</v>
      </c>
      <c r="C41" t="str">
        <f t="shared" si="0"/>
        <v>htv5</v>
      </c>
      <c r="D41" t="str">
        <f t="shared" si="1"/>
        <v>HTV5</v>
      </c>
      <c r="E41" t="str">
        <f t="shared" si="2"/>
        <v>htv5</v>
      </c>
    </row>
    <row r="42" spans="1:5" x14ac:dyDescent="0.25">
      <c r="A42" t="s">
        <v>325</v>
      </c>
      <c r="B42" t="s">
        <v>326</v>
      </c>
      <c r="C42" t="str">
        <f t="shared" si="0"/>
        <v>htv7hd</v>
      </c>
      <c r="D42" t="str">
        <f t="shared" si="1"/>
        <v>HTV7</v>
      </c>
      <c r="E42" t="str">
        <f t="shared" si="2"/>
        <v>htv7hd</v>
      </c>
    </row>
    <row r="43" spans="1:5" x14ac:dyDescent="0.25">
      <c r="A43" t="s">
        <v>327</v>
      </c>
      <c r="B43" t="s">
        <v>328</v>
      </c>
      <c r="C43" t="str">
        <f t="shared" si="0"/>
        <v>htv9hd</v>
      </c>
      <c r="D43" t="str">
        <f t="shared" si="1"/>
        <v>HTV9</v>
      </c>
      <c r="E43" t="str">
        <f t="shared" si="2"/>
        <v>htv9hd</v>
      </c>
    </row>
    <row r="44" spans="1:5" x14ac:dyDescent="0.25">
      <c r="A44" t="s">
        <v>329</v>
      </c>
      <c r="B44" t="s">
        <v>330</v>
      </c>
      <c r="C44" t="str">
        <f t="shared" si="0"/>
        <v>htvthethaohd</v>
      </c>
      <c r="D44" t="str">
        <f t="shared" si="1"/>
        <v>HTV Thể Thao</v>
      </c>
      <c r="E44" t="str">
        <f t="shared" si="2"/>
        <v>htvthethaohd</v>
      </c>
    </row>
    <row r="45" spans="1:5" x14ac:dyDescent="0.25">
      <c r="A45" t="s">
        <v>331</v>
      </c>
      <c r="B45" t="s">
        <v>332</v>
      </c>
      <c r="C45" t="str">
        <f t="shared" si="0"/>
        <v>htvcthuanviet</v>
      </c>
      <c r="D45" t="str">
        <f t="shared" si="1"/>
        <v>HTVC Thuần Việt</v>
      </c>
      <c r="E45" t="str">
        <f t="shared" si="2"/>
        <v>htvcthuanviet</v>
      </c>
    </row>
    <row r="46" spans="1:5" x14ac:dyDescent="0.25">
      <c r="A46" t="s">
        <v>333</v>
      </c>
      <c r="B46" t="s">
        <v>334</v>
      </c>
      <c r="C46" t="str">
        <f t="shared" si="0"/>
        <v>htvcgiadinhhd</v>
      </c>
      <c r="D46" t="str">
        <f t="shared" si="1"/>
        <v>HTVC Gia Đình</v>
      </c>
      <c r="E46" t="str">
        <f t="shared" si="2"/>
        <v>htvcgiadinhhd</v>
      </c>
    </row>
    <row r="47" spans="1:5" x14ac:dyDescent="0.25">
      <c r="A47" t="s">
        <v>335</v>
      </c>
      <c r="B47" t="s">
        <v>336</v>
      </c>
      <c r="C47" t="str">
        <f t="shared" si="0"/>
        <v>htvcphunuhd</v>
      </c>
      <c r="D47" t="str">
        <f t="shared" si="1"/>
        <v>HTVC Phụ Nữ</v>
      </c>
      <c r="E47" t="str">
        <f t="shared" si="2"/>
        <v>htvcphunuhd</v>
      </c>
    </row>
    <row r="48" spans="1:5" x14ac:dyDescent="0.25">
      <c r="A48" t="s">
        <v>337</v>
      </c>
      <c r="B48" t="s">
        <v>338</v>
      </c>
      <c r="C48" t="str">
        <f t="shared" si="0"/>
        <v>htvccanhachd</v>
      </c>
      <c r="D48" t="str">
        <f t="shared" si="1"/>
        <v>HTVC Ca Nhạc</v>
      </c>
      <c r="E48" t="str">
        <f t="shared" si="2"/>
        <v>htvccanhachd</v>
      </c>
    </row>
    <row r="49" spans="1:5" x14ac:dyDescent="0.25">
      <c r="A49" t="s">
        <v>339</v>
      </c>
      <c r="B49" t="s">
        <v>340</v>
      </c>
      <c r="C49" t="str">
        <f t="shared" si="0"/>
        <v>htvcphimhd</v>
      </c>
      <c r="D49" t="str">
        <f t="shared" si="1"/>
        <v>HTVC Phim</v>
      </c>
      <c r="E49" t="str">
        <f t="shared" si="2"/>
        <v>htvcphimhd</v>
      </c>
    </row>
    <row r="50" spans="1:5" x14ac:dyDescent="0.25">
      <c r="A50" t="s">
        <v>341</v>
      </c>
      <c r="B50" t="s">
        <v>342</v>
      </c>
      <c r="C50" t="str">
        <f t="shared" si="0"/>
        <v>htvcdulichhd</v>
      </c>
      <c r="D50" t="str">
        <f t="shared" si="1"/>
        <v>HTVC Du Lịch và Cuộc Sống</v>
      </c>
      <c r="E50" t="str">
        <f t="shared" si="2"/>
        <v>htvcdulichhd</v>
      </c>
    </row>
    <row r="51" spans="1:5" x14ac:dyDescent="0.25">
      <c r="A51" t="s">
        <v>343</v>
      </c>
      <c r="B51" t="s">
        <v>344</v>
      </c>
      <c r="C51" t="str">
        <f t="shared" si="0"/>
        <v>htvcplushd</v>
      </c>
      <c r="D51" t="str">
        <f t="shared" si="1"/>
        <v>HTVC Plus</v>
      </c>
      <c r="E51" t="str">
        <f t="shared" si="2"/>
        <v>htvcplushd</v>
      </c>
    </row>
    <row r="52" spans="1:5" x14ac:dyDescent="0.25">
      <c r="A52" t="s">
        <v>345</v>
      </c>
      <c r="B52" t="s">
        <v>346</v>
      </c>
      <c r="C52" t="str">
        <f t="shared" si="0"/>
        <v>sctv1hd</v>
      </c>
      <c r="D52" t="str">
        <f t="shared" si="1"/>
        <v>SCTV1</v>
      </c>
      <c r="E52" t="str">
        <f t="shared" si="2"/>
        <v>sctv1hd</v>
      </c>
    </row>
    <row r="53" spans="1:5" x14ac:dyDescent="0.25">
      <c r="A53" t="s">
        <v>347</v>
      </c>
      <c r="B53" t="s">
        <v>348</v>
      </c>
      <c r="C53" t="str">
        <f t="shared" si="0"/>
        <v>sctv2hd</v>
      </c>
      <c r="D53" t="str">
        <f t="shared" si="1"/>
        <v>SCTV2</v>
      </c>
      <c r="E53" t="str">
        <f t="shared" si="2"/>
        <v>sctv2hd</v>
      </c>
    </row>
    <row r="54" spans="1:5" x14ac:dyDescent="0.25">
      <c r="A54" t="s">
        <v>349</v>
      </c>
      <c r="B54" t="s">
        <v>350</v>
      </c>
      <c r="C54" t="str">
        <f t="shared" si="0"/>
        <v>sctv3hd</v>
      </c>
      <c r="D54" t="str">
        <f t="shared" si="1"/>
        <v>SCTV3</v>
      </c>
      <c r="E54" t="str">
        <f t="shared" si="2"/>
        <v>sctv3hd</v>
      </c>
    </row>
    <row r="55" spans="1:5" x14ac:dyDescent="0.25">
      <c r="A55" t="s">
        <v>351</v>
      </c>
      <c r="B55" t="s">
        <v>352</v>
      </c>
      <c r="C55" t="str">
        <f t="shared" si="0"/>
        <v>sctv4hd</v>
      </c>
      <c r="D55" t="str">
        <f t="shared" si="1"/>
        <v>SCTV4</v>
      </c>
      <c r="E55" t="str">
        <f t="shared" si="2"/>
        <v>sctv4hd</v>
      </c>
    </row>
    <row r="56" spans="1:5" x14ac:dyDescent="0.25">
      <c r="A56" t="s">
        <v>353</v>
      </c>
      <c r="B56" t="s">
        <v>354</v>
      </c>
      <c r="C56" t="str">
        <f t="shared" si="0"/>
        <v>sctv6hd</v>
      </c>
      <c r="D56" t="str">
        <f t="shared" si="1"/>
        <v>SCTV6</v>
      </c>
      <c r="E56" t="str">
        <f t="shared" si="2"/>
        <v>sctv6hd</v>
      </c>
    </row>
    <row r="57" spans="1:5" x14ac:dyDescent="0.25">
      <c r="A57" t="s">
        <v>355</v>
      </c>
      <c r="B57" t="s">
        <v>356</v>
      </c>
      <c r="C57" t="str">
        <f t="shared" si="0"/>
        <v>sctv7hd</v>
      </c>
      <c r="D57" t="str">
        <f t="shared" si="1"/>
        <v>SCTV7</v>
      </c>
      <c r="E57" t="str">
        <f t="shared" si="2"/>
        <v>sctv7hd</v>
      </c>
    </row>
    <row r="58" spans="1:5" x14ac:dyDescent="0.25">
      <c r="A58" t="s">
        <v>357</v>
      </c>
      <c r="B58" t="s">
        <v>358</v>
      </c>
      <c r="C58" t="str">
        <f t="shared" si="0"/>
        <v>sctv8hd</v>
      </c>
      <c r="D58" t="str">
        <f t="shared" si="1"/>
        <v>SCTV8</v>
      </c>
      <c r="E58" t="str">
        <f t="shared" si="2"/>
        <v>sctv8hd</v>
      </c>
    </row>
    <row r="59" spans="1:5" x14ac:dyDescent="0.25">
      <c r="A59" t="s">
        <v>359</v>
      </c>
      <c r="B59" t="s">
        <v>360</v>
      </c>
      <c r="C59" t="str">
        <f t="shared" si="0"/>
        <v>sctv9hd</v>
      </c>
      <c r="D59" t="str">
        <f t="shared" si="1"/>
        <v>SCTV9</v>
      </c>
      <c r="E59" t="str">
        <f t="shared" si="2"/>
        <v>sctv9hd</v>
      </c>
    </row>
    <row r="60" spans="1:5" x14ac:dyDescent="0.25">
      <c r="A60" t="s">
        <v>361</v>
      </c>
      <c r="B60" t="s">
        <v>362</v>
      </c>
      <c r="C60" t="str">
        <f t="shared" si="0"/>
        <v>sctv11hd</v>
      </c>
      <c r="D60" t="str">
        <f t="shared" si="1"/>
        <v>SCTV11</v>
      </c>
      <c r="E60" t="str">
        <f t="shared" si="2"/>
        <v>sctv11hd</v>
      </c>
    </row>
    <row r="61" spans="1:5" x14ac:dyDescent="0.25">
      <c r="A61" t="s">
        <v>363</v>
      </c>
      <c r="B61" t="s">
        <v>364</v>
      </c>
      <c r="C61" t="str">
        <f t="shared" si="0"/>
        <v>sctv12hd</v>
      </c>
      <c r="D61" t="str">
        <f t="shared" si="1"/>
        <v>SCTV12</v>
      </c>
      <c r="E61" t="str">
        <f t="shared" si="2"/>
        <v>sctv12hd</v>
      </c>
    </row>
    <row r="62" spans="1:5" x14ac:dyDescent="0.25">
      <c r="A62" t="s">
        <v>365</v>
      </c>
      <c r="B62" t="s">
        <v>366</v>
      </c>
      <c r="C62" t="str">
        <f t="shared" si="0"/>
        <v>sctv13hd</v>
      </c>
      <c r="D62" t="str">
        <f t="shared" si="1"/>
        <v>SCTV13</v>
      </c>
      <c r="E62" t="str">
        <f t="shared" si="2"/>
        <v>sctv13hd</v>
      </c>
    </row>
    <row r="63" spans="1:5" x14ac:dyDescent="0.25">
      <c r="A63" t="s">
        <v>367</v>
      </c>
      <c r="B63" t="s">
        <v>368</v>
      </c>
      <c r="C63" t="str">
        <f t="shared" si="0"/>
        <v>sctv14hd</v>
      </c>
      <c r="D63" t="str">
        <f t="shared" si="1"/>
        <v>SCTV14</v>
      </c>
      <c r="E63" t="str">
        <f t="shared" si="2"/>
        <v>sctv14hd</v>
      </c>
    </row>
    <row r="64" spans="1:5" x14ac:dyDescent="0.25">
      <c r="A64" t="s">
        <v>369</v>
      </c>
      <c r="B64" t="s">
        <v>370</v>
      </c>
      <c r="C64" t="str">
        <f t="shared" si="0"/>
        <v>sctv15hd</v>
      </c>
      <c r="D64" t="str">
        <f t="shared" si="1"/>
        <v>SCTV15</v>
      </c>
      <c r="E64" t="str">
        <f t="shared" si="2"/>
        <v>sctv15hd</v>
      </c>
    </row>
    <row r="65" spans="1:5" x14ac:dyDescent="0.25">
      <c r="A65" t="s">
        <v>371</v>
      </c>
      <c r="B65" t="s">
        <v>372</v>
      </c>
      <c r="C65" t="str">
        <f t="shared" si="0"/>
        <v>sctv16hd</v>
      </c>
      <c r="D65" t="str">
        <f t="shared" si="1"/>
        <v>SCTV16</v>
      </c>
      <c r="E65" t="str">
        <f t="shared" si="2"/>
        <v>sctv16hd</v>
      </c>
    </row>
    <row r="66" spans="1:5" x14ac:dyDescent="0.25">
      <c r="A66" t="s">
        <v>373</v>
      </c>
      <c r="B66" t="s">
        <v>374</v>
      </c>
      <c r="C66" t="str">
        <f t="shared" si="0"/>
        <v>sctv17hd</v>
      </c>
      <c r="D66" t="str">
        <f t="shared" si="1"/>
        <v>SCTV17</v>
      </c>
      <c r="E66" t="str">
        <f t="shared" si="2"/>
        <v>sctv17hd</v>
      </c>
    </row>
    <row r="67" spans="1:5" x14ac:dyDescent="0.25">
      <c r="A67" t="s">
        <v>375</v>
      </c>
      <c r="B67" t="s">
        <v>376</v>
      </c>
      <c r="C67" t="str">
        <f t="shared" ref="C67:C130" si="3">MID(A67,FIND("=",A67,1)+2,FIND("&gt;",A67,1)-FIND("=",A67,1)-3)</f>
        <v>sctv18hd</v>
      </c>
      <c r="D67" t="str">
        <f t="shared" ref="D67:D130" si="4">MID(B67,FIND("&gt;",B67,1)+1,FIND("/",B67,1)-FIND("&gt;",B67,1)-2)</f>
        <v>SCTV18</v>
      </c>
      <c r="E67" t="str">
        <f t="shared" ref="E67:E130" si="5">C67</f>
        <v>sctv18hd</v>
      </c>
    </row>
    <row r="68" spans="1:5" x14ac:dyDescent="0.25">
      <c r="A68" t="s">
        <v>377</v>
      </c>
      <c r="B68" t="s">
        <v>378</v>
      </c>
      <c r="C68" t="str">
        <f t="shared" si="3"/>
        <v>sctv19hd</v>
      </c>
      <c r="D68" t="str">
        <f t="shared" si="4"/>
        <v>SCTV19</v>
      </c>
      <c r="E68" t="str">
        <f t="shared" si="5"/>
        <v>sctv19hd</v>
      </c>
    </row>
    <row r="69" spans="1:5" x14ac:dyDescent="0.25">
      <c r="A69" t="s">
        <v>379</v>
      </c>
      <c r="B69" t="s">
        <v>380</v>
      </c>
      <c r="C69" t="str">
        <f t="shared" si="3"/>
        <v>sctv20hd</v>
      </c>
      <c r="D69" t="str">
        <f t="shared" si="4"/>
        <v>SCTV20</v>
      </c>
      <c r="E69" t="str">
        <f t="shared" si="5"/>
        <v>sctv20hd</v>
      </c>
    </row>
    <row r="70" spans="1:5" x14ac:dyDescent="0.25">
      <c r="A70" t="s">
        <v>381</v>
      </c>
      <c r="B70" t="s">
        <v>382</v>
      </c>
      <c r="C70" t="str">
        <f t="shared" si="3"/>
        <v>sctv21hd</v>
      </c>
      <c r="D70" t="str">
        <f t="shared" si="4"/>
        <v>SCTV21</v>
      </c>
      <c r="E70" t="str">
        <f t="shared" si="5"/>
        <v>sctv21hd</v>
      </c>
    </row>
    <row r="71" spans="1:5" x14ac:dyDescent="0.25">
      <c r="A71" t="s">
        <v>383</v>
      </c>
      <c r="B71" t="s">
        <v>384</v>
      </c>
      <c r="C71" t="str">
        <f t="shared" si="3"/>
        <v>sctv22hd</v>
      </c>
      <c r="D71" t="str">
        <f t="shared" si="4"/>
        <v>SCTV22</v>
      </c>
      <c r="E71" t="str">
        <f t="shared" si="5"/>
        <v>sctv22hd</v>
      </c>
    </row>
    <row r="72" spans="1:5" x14ac:dyDescent="0.25">
      <c r="A72" t="s">
        <v>385</v>
      </c>
      <c r="B72" t="s">
        <v>386</v>
      </c>
      <c r="C72" t="str">
        <f t="shared" si="3"/>
        <v>sctvhdpth</v>
      </c>
      <c r="D72" t="str">
        <f t="shared" si="4"/>
        <v>SCTV Phim Tổng Hợp</v>
      </c>
      <c r="E72" t="str">
        <f t="shared" si="5"/>
        <v>sctvhdpth</v>
      </c>
    </row>
    <row r="73" spans="1:5" x14ac:dyDescent="0.25">
      <c r="A73" t="s">
        <v>387</v>
      </c>
      <c r="B73" t="s">
        <v>388</v>
      </c>
      <c r="C73" t="str">
        <f t="shared" si="3"/>
        <v>sctv4k</v>
      </c>
      <c r="D73" t="str">
        <f t="shared" si="4"/>
        <v>SCTV4K</v>
      </c>
      <c r="E73" t="str">
        <f t="shared" si="5"/>
        <v>sctv4k</v>
      </c>
    </row>
    <row r="74" spans="1:5" x14ac:dyDescent="0.25">
      <c r="A74" t="s">
        <v>389</v>
      </c>
      <c r="B74" t="s">
        <v>390</v>
      </c>
      <c r="C74" t="str">
        <f t="shared" si="3"/>
        <v>angiang1</v>
      </c>
      <c r="D74" t="str">
        <f t="shared" si="4"/>
        <v>An Giang 1</v>
      </c>
      <c r="E74" t="str">
        <f t="shared" si="5"/>
        <v>angiang1</v>
      </c>
    </row>
    <row r="75" spans="1:5" x14ac:dyDescent="0.25">
      <c r="A75" t="s">
        <v>391</v>
      </c>
      <c r="B75" t="s">
        <v>392</v>
      </c>
      <c r="C75" t="str">
        <f t="shared" si="3"/>
        <v>angiang2</v>
      </c>
      <c r="D75" t="str">
        <f t="shared" si="4"/>
        <v>An Giang 2</v>
      </c>
      <c r="E75" t="str">
        <f t="shared" si="5"/>
        <v>angiang2</v>
      </c>
    </row>
    <row r="76" spans="1:5" x14ac:dyDescent="0.25">
      <c r="A76" t="s">
        <v>393</v>
      </c>
      <c r="B76" t="s">
        <v>394</v>
      </c>
      <c r="C76" t="str">
        <f t="shared" si="3"/>
        <v>angiang3</v>
      </c>
      <c r="D76" t="str">
        <f t="shared" si="4"/>
        <v>An Giang 3</v>
      </c>
      <c r="E76" t="str">
        <f t="shared" si="5"/>
        <v>angiang3</v>
      </c>
    </row>
    <row r="77" spans="1:5" x14ac:dyDescent="0.25">
      <c r="A77" t="s">
        <v>395</v>
      </c>
      <c r="B77" t="s">
        <v>396</v>
      </c>
      <c r="C77" t="str">
        <f t="shared" si="3"/>
        <v>bacninh</v>
      </c>
      <c r="D77" t="str">
        <f t="shared" si="4"/>
        <v>Bắc Ninh</v>
      </c>
      <c r="E77" t="str">
        <f t="shared" si="5"/>
        <v>bacninh</v>
      </c>
    </row>
    <row r="78" spans="1:5" x14ac:dyDescent="0.25">
      <c r="A78" t="s">
        <v>397</v>
      </c>
      <c r="B78" t="s">
        <v>734</v>
      </c>
      <c r="C78" t="str">
        <f t="shared" si="3"/>
        <v>cantho1</v>
      </c>
      <c r="D78" t="str">
        <f t="shared" si="4"/>
        <v>Cần Thơ TV1</v>
      </c>
      <c r="E78" t="str">
        <f t="shared" si="5"/>
        <v>cantho1</v>
      </c>
    </row>
    <row r="79" spans="1:5" x14ac:dyDescent="0.25">
      <c r="A79" t="s">
        <v>398</v>
      </c>
      <c r="B79" t="s">
        <v>735</v>
      </c>
      <c r="C79" t="str">
        <f t="shared" si="3"/>
        <v>cantho2</v>
      </c>
      <c r="D79" t="str">
        <f t="shared" si="4"/>
        <v>Cần Thơ TV2</v>
      </c>
      <c r="E79" t="str">
        <f t="shared" si="5"/>
        <v>cantho2</v>
      </c>
    </row>
    <row r="80" spans="1:5" x14ac:dyDescent="0.25">
      <c r="A80" t="s">
        <v>399</v>
      </c>
      <c r="B80" t="s">
        <v>736</v>
      </c>
      <c r="C80" t="str">
        <f t="shared" si="3"/>
        <v>cantho3</v>
      </c>
      <c r="D80" t="str">
        <f t="shared" si="4"/>
        <v>Cần Thơ TV3</v>
      </c>
      <c r="E80" t="str">
        <f t="shared" si="5"/>
        <v>cantho3</v>
      </c>
    </row>
    <row r="81" spans="1:5" x14ac:dyDescent="0.25">
      <c r="A81" t="s">
        <v>400</v>
      </c>
      <c r="B81" t="s">
        <v>401</v>
      </c>
      <c r="C81" t="str">
        <f t="shared" si="3"/>
        <v>camau</v>
      </c>
      <c r="D81" t="str">
        <f t="shared" si="4"/>
        <v>Cà Mau</v>
      </c>
      <c r="E81" t="str">
        <f t="shared" si="5"/>
        <v>camau</v>
      </c>
    </row>
    <row r="82" spans="1:5" x14ac:dyDescent="0.25">
      <c r="A82" t="s">
        <v>402</v>
      </c>
      <c r="B82" t="s">
        <v>737</v>
      </c>
      <c r="C82" t="str">
        <f t="shared" si="3"/>
        <v>caobang</v>
      </c>
      <c r="D82" t="str">
        <f t="shared" si="4"/>
        <v>Cao Bằng TV</v>
      </c>
      <c r="E82" t="str">
        <f t="shared" si="5"/>
        <v>caobang</v>
      </c>
    </row>
    <row r="83" spans="1:5" x14ac:dyDescent="0.25">
      <c r="A83" t="s">
        <v>403</v>
      </c>
      <c r="B83" t="s">
        <v>404</v>
      </c>
      <c r="C83" t="str">
        <f t="shared" si="3"/>
        <v>daklak</v>
      </c>
      <c r="D83" t="str">
        <f t="shared" si="4"/>
        <v>Đắk Lắk</v>
      </c>
      <c r="E83" t="str">
        <f t="shared" si="5"/>
        <v>daklak</v>
      </c>
    </row>
    <row r="84" spans="1:5" x14ac:dyDescent="0.25">
      <c r="A84" t="s">
        <v>405</v>
      </c>
      <c r="B84" t="s">
        <v>406</v>
      </c>
      <c r="C84" t="str">
        <f t="shared" si="3"/>
        <v>dienbien</v>
      </c>
      <c r="D84" t="str">
        <f t="shared" si="4"/>
        <v>Điện Biên</v>
      </c>
      <c r="E84" t="str">
        <f t="shared" si="5"/>
        <v>dienbien</v>
      </c>
    </row>
    <row r="85" spans="1:5" x14ac:dyDescent="0.25">
      <c r="A85" t="s">
        <v>407</v>
      </c>
      <c r="B85" t="s">
        <v>408</v>
      </c>
      <c r="C85" t="str">
        <f t="shared" si="3"/>
        <v>danang1</v>
      </c>
      <c r="D85" t="str">
        <f t="shared" si="4"/>
        <v>Đà Nẵng 1</v>
      </c>
      <c r="E85" t="str">
        <f t="shared" si="5"/>
        <v>danang1</v>
      </c>
    </row>
    <row r="86" spans="1:5" x14ac:dyDescent="0.25">
      <c r="A86" t="s">
        <v>409</v>
      </c>
      <c r="B86" t="s">
        <v>410</v>
      </c>
      <c r="C86" t="str">
        <f t="shared" si="3"/>
        <v>danang2</v>
      </c>
      <c r="D86" t="str">
        <f t="shared" si="4"/>
        <v>Đà Nẵng 2</v>
      </c>
      <c r="E86" t="str">
        <f t="shared" si="5"/>
        <v>danang2</v>
      </c>
    </row>
    <row r="87" spans="1:5" x14ac:dyDescent="0.25">
      <c r="A87" t="s">
        <v>411</v>
      </c>
      <c r="B87" t="s">
        <v>412</v>
      </c>
      <c r="C87" t="str">
        <f t="shared" si="3"/>
        <v>dongnai1</v>
      </c>
      <c r="D87" t="str">
        <f t="shared" si="4"/>
        <v>Đồng Nai 1</v>
      </c>
      <c r="E87" t="str">
        <f t="shared" si="5"/>
        <v>dongnai1</v>
      </c>
    </row>
    <row r="88" spans="1:5" x14ac:dyDescent="0.25">
      <c r="A88" t="s">
        <v>413</v>
      </c>
      <c r="B88" t="s">
        <v>414</v>
      </c>
      <c r="C88" t="str">
        <f t="shared" si="3"/>
        <v>dongnai2</v>
      </c>
      <c r="D88" t="str">
        <f t="shared" si="4"/>
        <v>Đồng Nai 2</v>
      </c>
      <c r="E88" t="str">
        <f t="shared" si="5"/>
        <v>dongnai2</v>
      </c>
    </row>
    <row r="89" spans="1:5" x14ac:dyDescent="0.25">
      <c r="A89" t="s">
        <v>415</v>
      </c>
      <c r="B89" t="s">
        <v>416</v>
      </c>
      <c r="C89" t="str">
        <f t="shared" si="3"/>
        <v>dongthap1</v>
      </c>
      <c r="D89" t="str">
        <f t="shared" si="4"/>
        <v>Đồng Tháp 1</v>
      </c>
      <c r="E89" t="str">
        <f t="shared" si="5"/>
        <v>dongthap1</v>
      </c>
    </row>
    <row r="90" spans="1:5" x14ac:dyDescent="0.25">
      <c r="A90" t="s">
        <v>417</v>
      </c>
      <c r="B90" t="s">
        <v>418</v>
      </c>
      <c r="C90" t="str">
        <f t="shared" si="3"/>
        <v>dongthap2</v>
      </c>
      <c r="D90" t="str">
        <f t="shared" si="4"/>
        <v>Đồng Tháp 2</v>
      </c>
      <c r="E90" t="str">
        <f t="shared" si="5"/>
        <v>dongthap2</v>
      </c>
    </row>
    <row r="91" spans="1:5" x14ac:dyDescent="0.25">
      <c r="A91" t="s">
        <v>419</v>
      </c>
      <c r="B91" t="s">
        <v>420</v>
      </c>
      <c r="C91" t="str">
        <f t="shared" si="3"/>
        <v>gialai</v>
      </c>
      <c r="D91" t="str">
        <f t="shared" si="4"/>
        <v>Gia Lai</v>
      </c>
      <c r="E91" t="str">
        <f t="shared" si="5"/>
        <v>gialai</v>
      </c>
    </row>
    <row r="92" spans="1:5" x14ac:dyDescent="0.25">
      <c r="A92" t="s">
        <v>421</v>
      </c>
      <c r="B92" t="s">
        <v>422</v>
      </c>
      <c r="C92" t="str">
        <f t="shared" si="3"/>
        <v>hanoi1</v>
      </c>
      <c r="D92" t="str">
        <f t="shared" si="4"/>
        <v>Hà Nội 1</v>
      </c>
      <c r="E92" t="str">
        <f t="shared" si="5"/>
        <v>hanoi1</v>
      </c>
    </row>
    <row r="93" spans="1:5" x14ac:dyDescent="0.25">
      <c r="A93" t="s">
        <v>423</v>
      </c>
      <c r="B93" t="s">
        <v>424</v>
      </c>
      <c r="C93" t="str">
        <f t="shared" si="3"/>
        <v>hanoi2</v>
      </c>
      <c r="D93" t="str">
        <f t="shared" si="4"/>
        <v>Hà Nội 2</v>
      </c>
      <c r="E93" t="str">
        <f t="shared" si="5"/>
        <v>hanoi2</v>
      </c>
    </row>
    <row r="94" spans="1:5" x14ac:dyDescent="0.25">
      <c r="A94" t="s">
        <v>425</v>
      </c>
      <c r="B94" t="s">
        <v>426</v>
      </c>
      <c r="C94" t="str">
        <f t="shared" si="3"/>
        <v>hitv</v>
      </c>
      <c r="D94" t="str">
        <f t="shared" si="4"/>
        <v>HiTV</v>
      </c>
      <c r="E94" t="str">
        <f t="shared" si="5"/>
        <v>hitv</v>
      </c>
    </row>
    <row r="95" spans="1:5" x14ac:dyDescent="0.25">
      <c r="A95" t="s">
        <v>427</v>
      </c>
      <c r="B95" t="s">
        <v>428</v>
      </c>
      <c r="C95" t="str">
        <f t="shared" si="3"/>
        <v>youtv</v>
      </c>
      <c r="D95" t="str">
        <f t="shared" si="4"/>
        <v>YouTV</v>
      </c>
      <c r="E95" t="str">
        <f t="shared" si="5"/>
        <v>youtv</v>
      </c>
    </row>
    <row r="96" spans="1:5" x14ac:dyDescent="0.25">
      <c r="A96" t="s">
        <v>429</v>
      </c>
      <c r="B96" t="s">
        <v>430</v>
      </c>
      <c r="C96" t="str">
        <f t="shared" si="3"/>
        <v>hatinh</v>
      </c>
      <c r="D96" t="str">
        <f t="shared" si="4"/>
        <v>Hà Tĩnh</v>
      </c>
      <c r="E96" t="str">
        <f t="shared" si="5"/>
        <v>hatinh</v>
      </c>
    </row>
    <row r="97" spans="1:5" x14ac:dyDescent="0.25">
      <c r="A97" t="s">
        <v>431</v>
      </c>
      <c r="B97" t="s">
        <v>432</v>
      </c>
      <c r="C97" t="str">
        <f t="shared" si="3"/>
        <v>haiphong</v>
      </c>
      <c r="D97" t="str">
        <f t="shared" si="4"/>
        <v>Hải Phòng</v>
      </c>
      <c r="E97" t="str">
        <f t="shared" si="5"/>
        <v>haiphong</v>
      </c>
    </row>
    <row r="98" spans="1:5" x14ac:dyDescent="0.25">
      <c r="A98" t="s">
        <v>433</v>
      </c>
      <c r="B98" t="s">
        <v>434</v>
      </c>
      <c r="C98" t="str">
        <f t="shared" si="3"/>
        <v>haiphong3</v>
      </c>
      <c r="D98" t="str">
        <f t="shared" si="4"/>
        <v>Hải Phòng 3</v>
      </c>
      <c r="E98" t="str">
        <f t="shared" si="5"/>
        <v>haiphong3</v>
      </c>
    </row>
    <row r="99" spans="1:5" x14ac:dyDescent="0.25">
      <c r="A99" t="s">
        <v>435</v>
      </c>
      <c r="B99" t="s">
        <v>436</v>
      </c>
      <c r="C99" t="str">
        <f t="shared" si="3"/>
        <v>hue</v>
      </c>
      <c r="D99" t="str">
        <f t="shared" si="4"/>
        <v>Huế</v>
      </c>
      <c r="E99" t="str">
        <f t="shared" si="5"/>
        <v>hue</v>
      </c>
    </row>
    <row r="100" spans="1:5" x14ac:dyDescent="0.25">
      <c r="A100" t="s">
        <v>437</v>
      </c>
      <c r="B100" t="s">
        <v>438</v>
      </c>
      <c r="C100" t="str">
        <f t="shared" si="3"/>
        <v>hungyen</v>
      </c>
      <c r="D100" t="str">
        <f t="shared" si="4"/>
        <v>Hưng Yên</v>
      </c>
      <c r="E100" t="str">
        <f t="shared" si="5"/>
        <v>hungyen</v>
      </c>
    </row>
    <row r="101" spans="1:5" x14ac:dyDescent="0.25">
      <c r="A101" t="s">
        <v>439</v>
      </c>
      <c r="B101" t="s">
        <v>440</v>
      </c>
      <c r="C101" t="str">
        <f t="shared" si="3"/>
        <v>khanhhoa</v>
      </c>
      <c r="D101" t="str">
        <f t="shared" si="4"/>
        <v>Khánh Hòa</v>
      </c>
      <c r="E101" t="str">
        <f t="shared" si="5"/>
        <v>khanhhoa</v>
      </c>
    </row>
    <row r="102" spans="1:5" x14ac:dyDescent="0.25">
      <c r="A102" t="s">
        <v>441</v>
      </c>
      <c r="B102" t="s">
        <v>442</v>
      </c>
      <c r="C102" t="str">
        <f t="shared" si="3"/>
        <v>khanhhoa1</v>
      </c>
      <c r="D102" t="str">
        <f t="shared" si="4"/>
        <v>Khánh Hòa 1</v>
      </c>
      <c r="E102" t="str">
        <f t="shared" si="5"/>
        <v>khanhhoa1</v>
      </c>
    </row>
    <row r="103" spans="1:5" x14ac:dyDescent="0.25">
      <c r="A103" t="s">
        <v>443</v>
      </c>
      <c r="B103" t="s">
        <v>444</v>
      </c>
      <c r="C103" t="str">
        <f t="shared" si="3"/>
        <v>laichau</v>
      </c>
      <c r="D103" t="str">
        <f t="shared" si="4"/>
        <v>Lai Châu</v>
      </c>
      <c r="E103" t="str">
        <f t="shared" si="5"/>
        <v>laichau</v>
      </c>
    </row>
    <row r="104" spans="1:5" x14ac:dyDescent="0.25">
      <c r="A104" t="s">
        <v>445</v>
      </c>
      <c r="B104" t="s">
        <v>446</v>
      </c>
      <c r="C104" t="str">
        <f t="shared" si="3"/>
        <v>lamdong1</v>
      </c>
      <c r="D104" t="str">
        <f t="shared" si="4"/>
        <v>Lâm Đồng 1</v>
      </c>
      <c r="E104" t="str">
        <f t="shared" si="5"/>
        <v>lamdong1</v>
      </c>
    </row>
    <row r="105" spans="1:5" x14ac:dyDescent="0.25">
      <c r="A105" t="s">
        <v>447</v>
      </c>
      <c r="B105" t="s">
        <v>448</v>
      </c>
      <c r="C105" t="str">
        <f t="shared" si="3"/>
        <v>lamdong2</v>
      </c>
      <c r="D105" t="str">
        <f t="shared" si="4"/>
        <v>Lâm Đồng 2</v>
      </c>
      <c r="E105" t="str">
        <f t="shared" si="5"/>
        <v>lamdong2</v>
      </c>
    </row>
    <row r="106" spans="1:5" x14ac:dyDescent="0.25">
      <c r="A106" t="s">
        <v>449</v>
      </c>
      <c r="B106" t="s">
        <v>450</v>
      </c>
      <c r="C106" t="str">
        <f t="shared" si="3"/>
        <v>langson</v>
      </c>
      <c r="D106" t="str">
        <f t="shared" si="4"/>
        <v>Lạng Sơn</v>
      </c>
      <c r="E106" t="str">
        <f t="shared" si="5"/>
        <v>langson</v>
      </c>
    </row>
    <row r="107" spans="1:5" x14ac:dyDescent="0.25">
      <c r="A107" t="s">
        <v>451</v>
      </c>
      <c r="B107" t="s">
        <v>452</v>
      </c>
      <c r="C107" t="str">
        <f t="shared" si="3"/>
        <v>laocai</v>
      </c>
      <c r="D107" t="str">
        <f t="shared" si="4"/>
        <v>Lào Cai</v>
      </c>
      <c r="E107" t="str">
        <f t="shared" si="5"/>
        <v>laocai</v>
      </c>
    </row>
    <row r="108" spans="1:5" x14ac:dyDescent="0.25">
      <c r="A108" t="s">
        <v>453</v>
      </c>
      <c r="B108" t="s">
        <v>454</v>
      </c>
      <c r="C108" t="str">
        <f t="shared" si="3"/>
        <v>nghean</v>
      </c>
      <c r="D108" t="str">
        <f t="shared" si="4"/>
        <v>Nghệ An</v>
      </c>
      <c r="E108" t="str">
        <f t="shared" si="5"/>
        <v>nghean</v>
      </c>
    </row>
    <row r="109" spans="1:5" x14ac:dyDescent="0.25">
      <c r="A109" t="s">
        <v>455</v>
      </c>
      <c r="B109" t="s">
        <v>456</v>
      </c>
      <c r="C109" t="str">
        <f t="shared" si="3"/>
        <v>ninhbinh</v>
      </c>
      <c r="D109" t="str">
        <f t="shared" si="4"/>
        <v>Ninh Bình</v>
      </c>
      <c r="E109" t="str">
        <f t="shared" si="5"/>
        <v>ninhbinh</v>
      </c>
    </row>
    <row r="110" spans="1:5" x14ac:dyDescent="0.25">
      <c r="A110" t="s">
        <v>457</v>
      </c>
      <c r="B110" t="s">
        <v>458</v>
      </c>
      <c r="C110" t="str">
        <f t="shared" si="3"/>
        <v>phutho</v>
      </c>
      <c r="D110" t="str">
        <f t="shared" si="4"/>
        <v>Phú Thọ</v>
      </c>
      <c r="E110" t="str">
        <f t="shared" si="5"/>
        <v>phutho</v>
      </c>
    </row>
    <row r="111" spans="1:5" x14ac:dyDescent="0.25">
      <c r="A111" t="s">
        <v>459</v>
      </c>
      <c r="B111" t="s">
        <v>460</v>
      </c>
      <c r="C111" t="str">
        <f t="shared" si="3"/>
        <v>quangngai</v>
      </c>
      <c r="D111" t="str">
        <f t="shared" si="4"/>
        <v>Quảng Ngãi 1</v>
      </c>
      <c r="E111" t="str">
        <f t="shared" si="5"/>
        <v>quangngai</v>
      </c>
    </row>
    <row r="112" spans="1:5" x14ac:dyDescent="0.25">
      <c r="A112" t="s">
        <v>461</v>
      </c>
      <c r="B112" t="s">
        <v>462</v>
      </c>
      <c r="C112" t="str">
        <f t="shared" si="3"/>
        <v>quangngai2</v>
      </c>
      <c r="D112" t="str">
        <f t="shared" si="4"/>
        <v>Quảng Ngãi 2</v>
      </c>
      <c r="E112" t="str">
        <f t="shared" si="5"/>
        <v>quangngai2</v>
      </c>
    </row>
    <row r="113" spans="1:5" x14ac:dyDescent="0.25">
      <c r="A113" t="s">
        <v>463</v>
      </c>
      <c r="B113" t="s">
        <v>464</v>
      </c>
      <c r="C113" t="str">
        <f t="shared" si="3"/>
        <v>quangninh1</v>
      </c>
      <c r="D113" t="str">
        <f t="shared" si="4"/>
        <v>Quảng Ninh 1</v>
      </c>
      <c r="E113" t="str">
        <f t="shared" si="5"/>
        <v>quangninh1</v>
      </c>
    </row>
    <row r="114" spans="1:5" x14ac:dyDescent="0.25">
      <c r="A114" t="s">
        <v>465</v>
      </c>
      <c r="B114" t="s">
        <v>466</v>
      </c>
      <c r="C114" t="str">
        <f t="shared" si="3"/>
        <v>quangninh3</v>
      </c>
      <c r="D114" t="str">
        <f t="shared" si="4"/>
        <v>Quảng Ninh 3</v>
      </c>
      <c r="E114" t="str">
        <f t="shared" si="5"/>
        <v>quangninh3</v>
      </c>
    </row>
    <row r="115" spans="1:5" x14ac:dyDescent="0.25">
      <c r="A115" t="s">
        <v>467</v>
      </c>
      <c r="B115" t="s">
        <v>468</v>
      </c>
      <c r="C115" t="str">
        <f t="shared" si="3"/>
        <v>quangtri</v>
      </c>
      <c r="D115" t="str">
        <f t="shared" si="4"/>
        <v>Quảng Trị</v>
      </c>
      <c r="E115" t="str">
        <f t="shared" si="5"/>
        <v>quangtri</v>
      </c>
    </row>
    <row r="116" spans="1:5" x14ac:dyDescent="0.25">
      <c r="A116" t="s">
        <v>469</v>
      </c>
      <c r="B116" t="s">
        <v>470</v>
      </c>
      <c r="C116" t="str">
        <f t="shared" si="3"/>
        <v>sonla</v>
      </c>
      <c r="D116" t="str">
        <f t="shared" si="4"/>
        <v>Sơn La</v>
      </c>
      <c r="E116" t="str">
        <f t="shared" si="5"/>
        <v>sonla</v>
      </c>
    </row>
    <row r="117" spans="1:5" x14ac:dyDescent="0.25">
      <c r="A117" t="s">
        <v>471</v>
      </c>
      <c r="B117" t="s">
        <v>472</v>
      </c>
      <c r="C117" t="str">
        <f t="shared" si="3"/>
        <v>tayninh1</v>
      </c>
      <c r="D117" t="str">
        <f t="shared" si="4"/>
        <v>Tây Ninh</v>
      </c>
      <c r="E117" t="str">
        <f t="shared" si="5"/>
        <v>tayninh1</v>
      </c>
    </row>
    <row r="118" spans="1:5" x14ac:dyDescent="0.25">
      <c r="A118" t="s">
        <v>473</v>
      </c>
      <c r="B118" t="s">
        <v>474</v>
      </c>
      <c r="C118" t="str">
        <f t="shared" si="3"/>
        <v>thainguyen</v>
      </c>
      <c r="D118" t="str">
        <f t="shared" si="4"/>
        <v>Thái Nguyên</v>
      </c>
      <c r="E118" t="str">
        <f t="shared" si="5"/>
        <v>thainguyen</v>
      </c>
    </row>
    <row r="119" spans="1:5" x14ac:dyDescent="0.25">
      <c r="A119" t="s">
        <v>475</v>
      </c>
      <c r="B119" t="s">
        <v>476</v>
      </c>
      <c r="C119" t="str">
        <f t="shared" si="3"/>
        <v>thanhhoa</v>
      </c>
      <c r="D119" t="str">
        <f t="shared" si="4"/>
        <v>Thanh Hóa</v>
      </c>
      <c r="E119" t="str">
        <f t="shared" si="5"/>
        <v>thanhhoa</v>
      </c>
    </row>
    <row r="120" spans="1:5" x14ac:dyDescent="0.25">
      <c r="A120" t="s">
        <v>477</v>
      </c>
      <c r="B120" t="s">
        <v>478</v>
      </c>
      <c r="C120" t="str">
        <f t="shared" si="3"/>
        <v>tuyenquang</v>
      </c>
      <c r="D120" t="str">
        <f t="shared" si="4"/>
        <v>Tuyên Quang</v>
      </c>
      <c r="E120" t="str">
        <f t="shared" si="5"/>
        <v>tuyenquang</v>
      </c>
    </row>
    <row r="121" spans="1:5" x14ac:dyDescent="0.25">
      <c r="A121" t="s">
        <v>479</v>
      </c>
      <c r="B121" t="s">
        <v>480</v>
      </c>
      <c r="C121" t="str">
        <f t="shared" si="3"/>
        <v>vinhlong1hd</v>
      </c>
      <c r="D121" t="str">
        <f t="shared" si="4"/>
        <v>Vĩnh Long 1</v>
      </c>
      <c r="E121" t="str">
        <f t="shared" si="5"/>
        <v>vinhlong1hd</v>
      </c>
    </row>
    <row r="122" spans="1:5" x14ac:dyDescent="0.25">
      <c r="A122" t="s">
        <v>481</v>
      </c>
      <c r="B122" t="s">
        <v>482</v>
      </c>
      <c r="C122" t="str">
        <f t="shared" si="3"/>
        <v>vinhlong2hd</v>
      </c>
      <c r="D122" t="str">
        <f t="shared" si="4"/>
        <v>Vĩnh Long 2</v>
      </c>
      <c r="E122" t="str">
        <f t="shared" si="5"/>
        <v>vinhlong2hd</v>
      </c>
    </row>
    <row r="123" spans="1:5" x14ac:dyDescent="0.25">
      <c r="A123" t="s">
        <v>483</v>
      </c>
      <c r="B123" t="s">
        <v>484</v>
      </c>
      <c r="C123" t="str">
        <f t="shared" si="3"/>
        <v>vinhlong3hd</v>
      </c>
      <c r="D123" t="str">
        <f t="shared" si="4"/>
        <v>Vĩnh Long 3</v>
      </c>
      <c r="E123" t="str">
        <f t="shared" si="5"/>
        <v>vinhlong3hd</v>
      </c>
    </row>
    <row r="124" spans="1:5" x14ac:dyDescent="0.25">
      <c r="A124" t="s">
        <v>485</v>
      </c>
      <c r="B124" t="s">
        <v>486</v>
      </c>
      <c r="C124" t="str">
        <f t="shared" si="3"/>
        <v>vinhlong4hd</v>
      </c>
      <c r="D124" t="str">
        <f t="shared" si="4"/>
        <v>Vĩnh Long 4</v>
      </c>
      <c r="E124" t="str">
        <f t="shared" si="5"/>
        <v>vinhlong4hd</v>
      </c>
    </row>
    <row r="125" spans="1:5" x14ac:dyDescent="0.25">
      <c r="A125" t="s">
        <v>487</v>
      </c>
      <c r="B125" t="s">
        <v>488</v>
      </c>
      <c r="C125" t="str">
        <f t="shared" si="3"/>
        <v>vinhlong5hd</v>
      </c>
      <c r="D125" t="str">
        <f t="shared" si="4"/>
        <v>Vĩnh Long 5</v>
      </c>
      <c r="E125" t="str">
        <f t="shared" si="5"/>
        <v>vinhlong5hd</v>
      </c>
    </row>
    <row r="126" spans="1:5" x14ac:dyDescent="0.25">
      <c r="A126" t="s">
        <v>489</v>
      </c>
      <c r="B126" t="s">
        <v>490</v>
      </c>
      <c r="C126" t="str">
        <f t="shared" si="3"/>
        <v>hbohd</v>
      </c>
      <c r="D126" t="str">
        <f t="shared" si="4"/>
        <v>HBO</v>
      </c>
      <c r="E126" t="str">
        <f t="shared" si="5"/>
        <v>hbohd</v>
      </c>
    </row>
    <row r="127" spans="1:5" x14ac:dyDescent="0.25">
      <c r="A127" t="s">
        <v>491</v>
      </c>
      <c r="B127" t="s">
        <v>492</v>
      </c>
      <c r="C127" t="str">
        <f t="shared" si="3"/>
        <v>cinemaxhd</v>
      </c>
      <c r="D127" t="str">
        <f t="shared" si="4"/>
        <v>Cinemax</v>
      </c>
      <c r="E127" t="str">
        <f t="shared" si="5"/>
        <v>cinemaxhd</v>
      </c>
    </row>
    <row r="128" spans="1:5" x14ac:dyDescent="0.25">
      <c r="A128" t="s">
        <v>493</v>
      </c>
      <c r="B128" t="s">
        <v>494</v>
      </c>
      <c r="C128" t="str">
        <f t="shared" si="3"/>
        <v>cinemaworldhd</v>
      </c>
      <c r="D128" t="str">
        <f t="shared" si="4"/>
        <v>Cinema World</v>
      </c>
      <c r="E128" t="str">
        <f t="shared" si="5"/>
        <v>cinemaworldhd</v>
      </c>
    </row>
    <row r="129" spans="1:5" x14ac:dyDescent="0.25">
      <c r="A129" t="s">
        <v>495</v>
      </c>
      <c r="B129" t="s">
        <v>496</v>
      </c>
      <c r="C129" t="str">
        <f t="shared" si="3"/>
        <v>dreamworks</v>
      </c>
      <c r="D129" t="str">
        <f t="shared" si="4"/>
        <v>Dreamworks</v>
      </c>
      <c r="E129" t="str">
        <f t="shared" si="5"/>
        <v>dreamworks</v>
      </c>
    </row>
    <row r="130" spans="1:5" x14ac:dyDescent="0.25">
      <c r="A130" t="s">
        <v>497</v>
      </c>
      <c r="B130" t="s">
        <v>498</v>
      </c>
      <c r="C130" t="str">
        <f t="shared" si="3"/>
        <v>cartoonhd</v>
      </c>
      <c r="D130" t="str">
        <f t="shared" si="4"/>
        <v>Cartoon Network</v>
      </c>
      <c r="E130" t="str">
        <f t="shared" si="5"/>
        <v>cartoonhd</v>
      </c>
    </row>
    <row r="131" spans="1:5" x14ac:dyDescent="0.25">
      <c r="A131" t="s">
        <v>499</v>
      </c>
      <c r="B131" t="s">
        <v>500</v>
      </c>
      <c r="C131" t="str">
        <f t="shared" ref="C131:C194" si="6">MID(A131,FIND("=",A131,1)+2,FIND("&gt;",A131,1)-FIND("=",A131,1)-3)</f>
        <v>boomerang</v>
      </c>
      <c r="D131" t="str">
        <f t="shared" ref="D131:D194" si="7">MID(B131,FIND("&gt;",B131,1)+1,FIND("/",B131,1)-FIND("&gt;",B131,1)-2)</f>
        <v>Cartoonito</v>
      </c>
      <c r="E131" t="str">
        <f t="shared" ref="E131:E194" si="8">C131</f>
        <v>boomerang</v>
      </c>
    </row>
    <row r="132" spans="1:5" x14ac:dyDescent="0.25">
      <c r="A132" t="s">
        <v>501</v>
      </c>
      <c r="B132" t="s">
        <v>502</v>
      </c>
      <c r="C132" t="str">
        <f t="shared" si="6"/>
        <v>cbeebies</v>
      </c>
      <c r="D132" t="str">
        <f t="shared" si="7"/>
        <v>BBC Cbeebies</v>
      </c>
      <c r="E132" t="str">
        <f t="shared" si="8"/>
        <v>cbeebies</v>
      </c>
    </row>
    <row r="133" spans="1:5" x14ac:dyDescent="0.25">
      <c r="A133" t="s">
        <v>503</v>
      </c>
      <c r="B133" t="s">
        <v>733</v>
      </c>
      <c r="C133" t="str">
        <f t="shared" si="6"/>
        <v>axnhd</v>
      </c>
      <c r="D133" t="str">
        <f t="shared" si="7"/>
        <v>AXN HD</v>
      </c>
      <c r="E133" t="str">
        <f t="shared" si="8"/>
        <v>axnhd</v>
      </c>
    </row>
    <row r="134" spans="1:5" x14ac:dyDescent="0.25">
      <c r="A134" t="s">
        <v>504</v>
      </c>
      <c r="B134" t="s">
        <v>806</v>
      </c>
      <c r="C134" t="str">
        <f t="shared" si="6"/>
        <v>warnertvhd</v>
      </c>
      <c r="D134" t="str">
        <f t="shared" si="7"/>
        <v>Warner</v>
      </c>
      <c r="E134" t="str">
        <f t="shared" si="8"/>
        <v>warnertvhd</v>
      </c>
    </row>
    <row r="135" spans="1:5" x14ac:dyDescent="0.25">
      <c r="A135" t="s">
        <v>505</v>
      </c>
      <c r="B135" t="s">
        <v>747</v>
      </c>
      <c r="C135" t="str">
        <f t="shared" si="6"/>
        <v>fashionhd</v>
      </c>
      <c r="D135" t="str">
        <f t="shared" si="7"/>
        <v>Fashion TV</v>
      </c>
      <c r="E135" t="str">
        <f t="shared" si="8"/>
        <v>fashionhd</v>
      </c>
    </row>
    <row r="136" spans="1:5" x14ac:dyDescent="0.25">
      <c r="A136" t="s">
        <v>506</v>
      </c>
      <c r="B136" t="s">
        <v>507</v>
      </c>
      <c r="C136" t="str">
        <f t="shared" si="6"/>
        <v>animalhd</v>
      </c>
      <c r="D136" t="str">
        <f t="shared" si="7"/>
        <v>Animal Planet</v>
      </c>
      <c r="E136" t="str">
        <f t="shared" si="8"/>
        <v>animalhd</v>
      </c>
    </row>
    <row r="137" spans="1:5" x14ac:dyDescent="0.25">
      <c r="A137" t="s">
        <v>508</v>
      </c>
      <c r="B137" t="s">
        <v>787</v>
      </c>
      <c r="C137" t="str">
        <f t="shared" si="6"/>
        <v>tlchd</v>
      </c>
      <c r="D137" t="str">
        <f t="shared" si="7"/>
        <v>TLC</v>
      </c>
      <c r="E137" t="str">
        <f t="shared" si="8"/>
        <v>tlchd</v>
      </c>
    </row>
    <row r="138" spans="1:5" x14ac:dyDescent="0.25">
      <c r="A138" t="s">
        <v>509</v>
      </c>
      <c r="B138" t="s">
        <v>510</v>
      </c>
      <c r="C138" t="str">
        <f t="shared" si="6"/>
        <v>discoveryhd</v>
      </c>
      <c r="D138" t="str">
        <f t="shared" si="7"/>
        <v>Discovery</v>
      </c>
      <c r="E138" t="str">
        <f t="shared" si="8"/>
        <v>discoveryhd</v>
      </c>
    </row>
    <row r="139" spans="1:5" x14ac:dyDescent="0.25">
      <c r="A139" t="s">
        <v>511</v>
      </c>
      <c r="B139" t="s">
        <v>512</v>
      </c>
      <c r="C139" t="str">
        <f t="shared" si="6"/>
        <v>discoveryasiahd</v>
      </c>
      <c r="D139" t="str">
        <f t="shared" si="7"/>
        <v>Discovery Asia</v>
      </c>
      <c r="E139" t="str">
        <f t="shared" si="8"/>
        <v>discoveryasiahd</v>
      </c>
    </row>
    <row r="140" spans="1:5" x14ac:dyDescent="0.25">
      <c r="A140" t="s">
        <v>513</v>
      </c>
      <c r="B140" t="s">
        <v>514</v>
      </c>
      <c r="C140" t="str">
        <f t="shared" si="6"/>
        <v>bbcearth</v>
      </c>
      <c r="D140" t="str">
        <f t="shared" si="7"/>
        <v>BBC Earth</v>
      </c>
      <c r="E140" t="str">
        <f t="shared" si="8"/>
        <v>bbcearth</v>
      </c>
    </row>
    <row r="141" spans="1:5" x14ac:dyDescent="0.25">
      <c r="A141" t="s">
        <v>515</v>
      </c>
      <c r="B141" t="s">
        <v>516</v>
      </c>
      <c r="C141" t="str">
        <f t="shared" si="6"/>
        <v>bbclifestyle</v>
      </c>
      <c r="D141" t="str">
        <f t="shared" si="7"/>
        <v>BBC Lifestyle</v>
      </c>
      <c r="E141" t="str">
        <f t="shared" si="8"/>
        <v>bbclifestyle</v>
      </c>
    </row>
    <row r="142" spans="1:5" x14ac:dyDescent="0.25">
      <c r="A142" t="s">
        <v>517</v>
      </c>
      <c r="B142" t="s">
        <v>518</v>
      </c>
      <c r="C142" t="str">
        <f t="shared" si="6"/>
        <v>bbcworldnews</v>
      </c>
      <c r="D142" t="str">
        <f t="shared" si="7"/>
        <v>BBC News</v>
      </c>
      <c r="E142" t="str">
        <f t="shared" si="8"/>
        <v>bbcworldnews</v>
      </c>
    </row>
    <row r="143" spans="1:5" x14ac:dyDescent="0.25">
      <c r="A143" t="s">
        <v>519</v>
      </c>
      <c r="B143" t="s">
        <v>520</v>
      </c>
      <c r="C143" t="str">
        <f t="shared" si="6"/>
        <v>cnn</v>
      </c>
      <c r="D143" t="str">
        <f t="shared" si="7"/>
        <v>CNN</v>
      </c>
      <c r="E143" t="str">
        <f t="shared" si="8"/>
        <v>cnn</v>
      </c>
    </row>
    <row r="144" spans="1:5" x14ac:dyDescent="0.25">
      <c r="A144" t="s">
        <v>521</v>
      </c>
      <c r="B144" t="s">
        <v>522</v>
      </c>
      <c r="C144" t="str">
        <f t="shared" si="6"/>
        <v>abcaustralia</v>
      </c>
      <c r="D144" t="str">
        <f t="shared" si="7"/>
        <v>ABC Australia</v>
      </c>
      <c r="E144" t="str">
        <f t="shared" si="8"/>
        <v>abcaustralia</v>
      </c>
    </row>
    <row r="145" spans="1:5" x14ac:dyDescent="0.25">
      <c r="A145" t="s">
        <v>523</v>
      </c>
      <c r="B145" t="s">
        <v>524</v>
      </c>
      <c r="C145" t="str">
        <f t="shared" si="6"/>
        <v>bloomberg</v>
      </c>
      <c r="D145" t="str">
        <f t="shared" si="7"/>
        <v>Bloomberg</v>
      </c>
      <c r="E145" t="str">
        <f t="shared" si="8"/>
        <v>bloomberg</v>
      </c>
    </row>
    <row r="146" spans="1:5" x14ac:dyDescent="0.25">
      <c r="A146" t="s">
        <v>525</v>
      </c>
      <c r="B146" t="s">
        <v>526</v>
      </c>
      <c r="C146" t="str">
        <f t="shared" si="6"/>
        <v>dmax</v>
      </c>
      <c r="D146" t="str">
        <f t="shared" si="7"/>
        <v>DMAX</v>
      </c>
      <c r="E146" t="str">
        <f t="shared" si="8"/>
        <v>dmax</v>
      </c>
    </row>
    <row r="147" spans="1:5" x14ac:dyDescent="0.25">
      <c r="A147" t="s">
        <v>527</v>
      </c>
      <c r="B147" t="s">
        <v>775</v>
      </c>
      <c r="C147" t="str">
        <f t="shared" si="6"/>
        <v>outdoorhd</v>
      </c>
      <c r="D147" t="str">
        <f t="shared" si="7"/>
        <v>Outdoor</v>
      </c>
      <c r="E147" t="str">
        <f t="shared" si="8"/>
        <v>outdoorhd</v>
      </c>
    </row>
    <row r="148" spans="1:5" x14ac:dyDescent="0.25">
      <c r="A148" t="s">
        <v>528</v>
      </c>
      <c r="B148" t="s">
        <v>529</v>
      </c>
      <c r="C148" t="str">
        <f t="shared" si="6"/>
        <v>cna</v>
      </c>
      <c r="D148" t="str">
        <f t="shared" si="7"/>
        <v>CNA</v>
      </c>
      <c r="E148" t="str">
        <f t="shared" si="8"/>
        <v>cna</v>
      </c>
    </row>
    <row r="149" spans="1:5" x14ac:dyDescent="0.25">
      <c r="A149" t="s">
        <v>530</v>
      </c>
      <c r="B149" t="s">
        <v>531</v>
      </c>
      <c r="C149" t="str">
        <f t="shared" si="6"/>
        <v>afnhd</v>
      </c>
      <c r="D149" t="str">
        <f t="shared" si="7"/>
        <v>Asian Food Network</v>
      </c>
      <c r="E149" t="str">
        <f t="shared" si="8"/>
        <v>afnhd</v>
      </c>
    </row>
    <row r="150" spans="1:5" x14ac:dyDescent="0.25">
      <c r="A150" t="s">
        <v>532</v>
      </c>
      <c r="B150" t="s">
        <v>533</v>
      </c>
      <c r="C150" t="str">
        <f t="shared" si="6"/>
        <v>hgtv</v>
      </c>
      <c r="D150" t="str">
        <f t="shared" si="7"/>
        <v>HGTV</v>
      </c>
      <c r="E150" t="str">
        <f t="shared" si="8"/>
        <v>hgtv</v>
      </c>
    </row>
    <row r="151" spans="1:5" x14ac:dyDescent="0.25">
      <c r="A151" t="s">
        <v>534</v>
      </c>
      <c r="B151" t="s">
        <v>535</v>
      </c>
      <c r="C151" t="str">
        <f t="shared" si="6"/>
        <v>historyhd</v>
      </c>
      <c r="D151" t="str">
        <f t="shared" si="7"/>
        <v>History Channel</v>
      </c>
      <c r="E151" t="str">
        <f t="shared" si="8"/>
        <v>historyhd</v>
      </c>
    </row>
    <row r="152" spans="1:5" x14ac:dyDescent="0.25">
      <c r="A152" t="s">
        <v>536</v>
      </c>
      <c r="B152" t="s">
        <v>537</v>
      </c>
      <c r="C152" t="str">
        <f t="shared" si="6"/>
        <v>kix</v>
      </c>
      <c r="D152" t="str">
        <f t="shared" si="7"/>
        <v>KIX</v>
      </c>
      <c r="E152" t="str">
        <f t="shared" si="8"/>
        <v>kix</v>
      </c>
    </row>
    <row r="153" spans="1:5" x14ac:dyDescent="0.25">
      <c r="A153" t="s">
        <v>538</v>
      </c>
      <c r="B153" t="s">
        <v>539</v>
      </c>
      <c r="C153" t="str">
        <f t="shared" si="6"/>
        <v>cgtn</v>
      </c>
      <c r="D153" t="str">
        <f t="shared" si="7"/>
        <v>CGTN</v>
      </c>
      <c r="E153" t="str">
        <f t="shared" si="8"/>
        <v>cgtn</v>
      </c>
    </row>
    <row r="154" spans="1:5" x14ac:dyDescent="0.25">
      <c r="A154" t="s">
        <v>540</v>
      </c>
      <c r="B154" t="s">
        <v>541</v>
      </c>
      <c r="C154" t="str">
        <f t="shared" si="6"/>
        <v>cgtndocu</v>
      </c>
      <c r="D154" t="str">
        <f t="shared" si="7"/>
        <v>CGTN Documentary</v>
      </c>
      <c r="E154" t="str">
        <f t="shared" si="8"/>
        <v>cgtndocu</v>
      </c>
    </row>
    <row r="155" spans="1:5" x14ac:dyDescent="0.25">
      <c r="A155" t="s">
        <v>542</v>
      </c>
      <c r="B155" t="s">
        <v>543</v>
      </c>
      <c r="C155" t="str">
        <f t="shared" si="6"/>
        <v>cnbc</v>
      </c>
      <c r="D155" t="str">
        <f t="shared" si="7"/>
        <v>CNBC</v>
      </c>
      <c r="E155" t="str">
        <f t="shared" si="8"/>
        <v>cnbc</v>
      </c>
    </row>
    <row r="156" spans="1:5" x14ac:dyDescent="0.25">
      <c r="A156" t="s">
        <v>544</v>
      </c>
      <c r="B156" t="s">
        <v>545</v>
      </c>
      <c r="C156" t="str">
        <f t="shared" si="6"/>
        <v>nhkworld</v>
      </c>
      <c r="D156" t="str">
        <f t="shared" si="7"/>
        <v>NHK World</v>
      </c>
      <c r="E156" t="str">
        <f t="shared" si="8"/>
        <v>nhkworld</v>
      </c>
    </row>
    <row r="157" spans="1:5" x14ac:dyDescent="0.25">
      <c r="A157" t="s">
        <v>546</v>
      </c>
      <c r="B157" t="s">
        <v>547</v>
      </c>
      <c r="C157" t="str">
        <f t="shared" si="6"/>
        <v>france24eng</v>
      </c>
      <c r="D157" t="str">
        <f t="shared" si="7"/>
        <v>France 24</v>
      </c>
      <c r="E157" t="str">
        <f t="shared" si="8"/>
        <v>france24eng</v>
      </c>
    </row>
    <row r="158" spans="1:5" x14ac:dyDescent="0.25">
      <c r="A158" t="s">
        <v>548</v>
      </c>
      <c r="B158" t="s">
        <v>788</v>
      </c>
      <c r="C158" t="str">
        <f t="shared" si="6"/>
        <v>tv5monde</v>
      </c>
      <c r="D158" t="str">
        <f t="shared" si="7"/>
        <v>TV5 MONDE</v>
      </c>
      <c r="E158" t="str">
        <f t="shared" si="8"/>
        <v>tv5monde</v>
      </c>
    </row>
    <row r="159" spans="1:5" x14ac:dyDescent="0.25">
      <c r="A159" t="s">
        <v>549</v>
      </c>
      <c r="B159" t="s">
        <v>550</v>
      </c>
      <c r="C159" t="str">
        <f t="shared" si="6"/>
        <v>dw</v>
      </c>
      <c r="D159" t="str">
        <f t="shared" si="7"/>
        <v>DW</v>
      </c>
      <c r="E159" t="str">
        <f t="shared" si="8"/>
        <v>dw</v>
      </c>
    </row>
    <row r="160" spans="1:5" x14ac:dyDescent="0.25">
      <c r="A160" t="s">
        <v>551</v>
      </c>
      <c r="B160" t="s">
        <v>552</v>
      </c>
      <c r="C160" t="str">
        <f t="shared" si="6"/>
        <v>arirang</v>
      </c>
      <c r="D160" t="str">
        <f t="shared" si="7"/>
        <v>Arirang</v>
      </c>
      <c r="E160" t="str">
        <f t="shared" si="8"/>
        <v>arirang</v>
      </c>
    </row>
    <row r="161" spans="1:5" x14ac:dyDescent="0.25">
      <c r="A161" t="s">
        <v>553</v>
      </c>
      <c r="B161" t="s">
        <v>554</v>
      </c>
      <c r="C161" t="str">
        <f t="shared" si="6"/>
        <v>davinci</v>
      </c>
      <c r="D161" t="str">
        <f t="shared" si="7"/>
        <v>DaVinci</v>
      </c>
      <c r="E161" t="str">
        <f t="shared" si="8"/>
        <v>davinci</v>
      </c>
    </row>
    <row r="162" spans="1:5" x14ac:dyDescent="0.25">
      <c r="A162" t="s">
        <v>555</v>
      </c>
      <c r="B162" t="s">
        <v>556</v>
      </c>
      <c r="C162" t="str">
        <f t="shared" si="6"/>
        <v>kbsworld</v>
      </c>
      <c r="D162" t="str">
        <f t="shared" si="7"/>
        <v>KBS World</v>
      </c>
      <c r="E162" t="str">
        <f t="shared" si="8"/>
        <v>kbsworld</v>
      </c>
    </row>
    <row r="163" spans="1:5" x14ac:dyDescent="0.25">
      <c r="A163" t="s">
        <v>557</v>
      </c>
      <c r="B163" t="s">
        <v>558</v>
      </c>
      <c r="C163" t="str">
        <f t="shared" si="6"/>
        <v>boxmovie1</v>
      </c>
      <c r="D163" t="str">
        <f t="shared" si="7"/>
        <v>Box Movies 1</v>
      </c>
      <c r="E163" t="str">
        <f t="shared" si="8"/>
        <v>boxmovie1</v>
      </c>
    </row>
    <row r="164" spans="1:5" x14ac:dyDescent="0.25">
      <c r="A164" t="s">
        <v>559</v>
      </c>
      <c r="B164" t="s">
        <v>560</v>
      </c>
      <c r="C164" t="str">
        <f t="shared" si="6"/>
        <v>hollywoodclassics</v>
      </c>
      <c r="D164" t="str">
        <f t="shared" si="7"/>
        <v>Hollywood Classics</v>
      </c>
      <c r="E164" t="str">
        <f t="shared" si="8"/>
        <v>hollywoodclassics</v>
      </c>
    </row>
    <row r="165" spans="1:5" x14ac:dyDescent="0.25">
      <c r="A165" t="s">
        <v>561</v>
      </c>
      <c r="B165" t="s">
        <v>562</v>
      </c>
      <c r="C165" t="str">
        <f t="shared" si="6"/>
        <v>boxhits</v>
      </c>
      <c r="D165" t="str">
        <f t="shared" si="7"/>
        <v>Box Hits</v>
      </c>
      <c r="E165" t="str">
        <f t="shared" si="8"/>
        <v>boxhits</v>
      </c>
    </row>
    <row r="166" spans="1:5" x14ac:dyDescent="0.25">
      <c r="A166" t="s">
        <v>563</v>
      </c>
      <c r="B166" t="s">
        <v>564</v>
      </c>
      <c r="C166" t="str">
        <f t="shared" si="6"/>
        <v>woman</v>
      </c>
      <c r="D166" t="str">
        <f t="shared" si="7"/>
        <v>Woman</v>
      </c>
      <c r="E166" t="str">
        <f t="shared" si="8"/>
        <v>woman</v>
      </c>
    </row>
    <row r="167" spans="1:5" x14ac:dyDescent="0.25">
      <c r="A167" t="s">
        <v>565</v>
      </c>
      <c r="B167" t="s">
        <v>566</v>
      </c>
      <c r="C167" t="str">
        <f t="shared" si="6"/>
        <v>musicbox</v>
      </c>
      <c r="D167" t="str">
        <f t="shared" si="7"/>
        <v>Music Box</v>
      </c>
      <c r="E167" t="str">
        <f t="shared" si="8"/>
        <v>musicbox</v>
      </c>
    </row>
    <row r="168" spans="1:5" x14ac:dyDescent="0.25">
      <c r="A168" t="s">
        <v>567</v>
      </c>
      <c r="B168" t="s">
        <v>568</v>
      </c>
      <c r="C168" t="str">
        <f t="shared" si="6"/>
        <v>happykids</v>
      </c>
      <c r="D168" t="str">
        <f t="shared" si="7"/>
        <v>Happy Kids</v>
      </c>
      <c r="E168" t="str">
        <f t="shared" si="8"/>
        <v>happykids</v>
      </c>
    </row>
    <row r="169" spans="1:5" x14ac:dyDescent="0.25">
      <c r="A169" t="s">
        <v>569</v>
      </c>
      <c r="B169" t="s">
        <v>570</v>
      </c>
      <c r="C169" t="str">
        <f t="shared" si="6"/>
        <v>spotv1</v>
      </c>
      <c r="D169" t="str">
        <f t="shared" si="7"/>
        <v>SPOTV</v>
      </c>
      <c r="E169" t="str">
        <f t="shared" si="8"/>
        <v>spotv1</v>
      </c>
    </row>
    <row r="170" spans="1:5" x14ac:dyDescent="0.25">
      <c r="A170" t="s">
        <v>571</v>
      </c>
      <c r="B170" t="s">
        <v>572</v>
      </c>
      <c r="C170" t="str">
        <f t="shared" si="6"/>
        <v>spotv2</v>
      </c>
      <c r="D170" t="str">
        <f t="shared" si="7"/>
        <v>SPOTV2</v>
      </c>
      <c r="E170" t="str">
        <f t="shared" si="8"/>
        <v>spotv2</v>
      </c>
    </row>
    <row r="171" spans="1:5" x14ac:dyDescent="0.25">
      <c r="A171" t="s">
        <v>573</v>
      </c>
      <c r="B171" t="s">
        <v>574</v>
      </c>
      <c r="C171" t="str">
        <f t="shared" si="6"/>
        <v>wsport</v>
      </c>
      <c r="D171" t="str">
        <f t="shared" si="7"/>
        <v>W-Sport</v>
      </c>
      <c r="E171" t="str">
        <f t="shared" si="8"/>
        <v>wsport</v>
      </c>
    </row>
    <row r="172" spans="1:5" x14ac:dyDescent="0.25">
      <c r="A172" t="s">
        <v>575</v>
      </c>
      <c r="B172" t="s">
        <v>576</v>
      </c>
      <c r="C172" t="str">
        <f t="shared" si="6"/>
        <v>tvnasia</v>
      </c>
      <c r="D172" t="str">
        <f t="shared" si="7"/>
        <v>tvN</v>
      </c>
      <c r="E172" t="str">
        <f t="shared" si="8"/>
        <v>tvnasia</v>
      </c>
    </row>
    <row r="173" spans="1:5" x14ac:dyDescent="0.25">
      <c r="A173" t="s">
        <v>577</v>
      </c>
      <c r="B173" t="s">
        <v>578</v>
      </c>
      <c r="C173" t="str">
        <f t="shared" si="6"/>
        <v>kplushd</v>
      </c>
      <c r="D173" t="str">
        <f t="shared" si="7"/>
        <v>K+</v>
      </c>
      <c r="E173" t="str">
        <f t="shared" si="8"/>
        <v>kplushd</v>
      </c>
    </row>
    <row r="174" spans="1:5" x14ac:dyDescent="0.25">
      <c r="A174" t="s">
        <v>579</v>
      </c>
      <c r="B174" t="s">
        <v>580</v>
      </c>
      <c r="C174" t="str">
        <f t="shared" si="6"/>
        <v>tvnmovies</v>
      </c>
      <c r="D174" t="str">
        <f t="shared" si="7"/>
        <v>tvN Movies</v>
      </c>
      <c r="E174" t="str">
        <f t="shared" si="8"/>
        <v>tvnmovies</v>
      </c>
    </row>
    <row r="175" spans="1:5" x14ac:dyDescent="0.25">
      <c r="A175" t="s">
        <v>581</v>
      </c>
      <c r="B175" t="s">
        <v>582</v>
      </c>
      <c r="C175" t="str">
        <f t="shared" si="6"/>
        <v>lovenature4k</v>
      </c>
      <c r="D175" t="str">
        <f t="shared" si="7"/>
        <v>Love Nature 4K</v>
      </c>
      <c r="E175" t="str">
        <f t="shared" si="8"/>
        <v>lovenature4k</v>
      </c>
    </row>
    <row r="176" spans="1:5" x14ac:dyDescent="0.25">
      <c r="A176" t="s">
        <v>583</v>
      </c>
      <c r="B176" t="s">
        <v>584</v>
      </c>
      <c r="C176" t="str">
        <f t="shared" si="6"/>
        <v>tvbvn</v>
      </c>
      <c r="D176" t="str">
        <f t="shared" si="7"/>
        <v>TVB VietNam</v>
      </c>
      <c r="E176" t="str">
        <f t="shared" si="8"/>
        <v>tvbvn</v>
      </c>
    </row>
    <row r="177" spans="1:5" x14ac:dyDescent="0.25">
      <c r="A177" t="s">
        <v>585</v>
      </c>
      <c r="B177" t="s">
        <v>586</v>
      </c>
      <c r="C177" t="str">
        <f t="shared" si="6"/>
        <v>mytv801</v>
      </c>
      <c r="D177" t="str">
        <f t="shared" si="7"/>
        <v>Sự kiện MyTV 801</v>
      </c>
      <c r="E177" t="str">
        <f t="shared" si="8"/>
        <v>mytv801</v>
      </c>
    </row>
    <row r="178" spans="1:5" x14ac:dyDescent="0.25">
      <c r="A178" t="s">
        <v>587</v>
      </c>
      <c r="B178" t="s">
        <v>588</v>
      </c>
      <c r="C178" t="str">
        <f t="shared" si="6"/>
        <v>mytv802</v>
      </c>
      <c r="D178" t="str">
        <f t="shared" si="7"/>
        <v>Sự kiện MyTV 802</v>
      </c>
      <c r="E178" t="str">
        <f t="shared" si="8"/>
        <v>mytv802</v>
      </c>
    </row>
    <row r="179" spans="1:5" x14ac:dyDescent="0.25">
      <c r="A179" t="s">
        <v>589</v>
      </c>
      <c r="B179" t="s">
        <v>590</v>
      </c>
      <c r="C179" t="str">
        <f t="shared" si="6"/>
        <v>mytv803</v>
      </c>
      <c r="D179" t="str">
        <f t="shared" si="7"/>
        <v>Sự kiện MyTV 803</v>
      </c>
      <c r="E179" t="str">
        <f t="shared" si="8"/>
        <v>mytv803</v>
      </c>
    </row>
    <row r="180" spans="1:5" x14ac:dyDescent="0.25">
      <c r="A180" t="s">
        <v>591</v>
      </c>
      <c r="B180" t="s">
        <v>592</v>
      </c>
      <c r="C180" t="str">
        <f t="shared" si="6"/>
        <v>mytv804</v>
      </c>
      <c r="D180" t="str">
        <f t="shared" si="7"/>
        <v>Sự kiện MyTV 804</v>
      </c>
      <c r="E180" t="str">
        <f t="shared" si="8"/>
        <v>mytv804</v>
      </c>
    </row>
    <row r="181" spans="1:5" x14ac:dyDescent="0.25">
      <c r="A181" t="s">
        <v>593</v>
      </c>
      <c r="B181" t="s">
        <v>594</v>
      </c>
      <c r="C181" t="str">
        <f t="shared" si="6"/>
        <v>mytv806</v>
      </c>
      <c r="D181" t="str">
        <f t="shared" si="7"/>
        <v>Sự kiện MyTV 806</v>
      </c>
      <c r="E181" t="str">
        <f t="shared" si="8"/>
        <v>mytv806</v>
      </c>
    </row>
    <row r="182" spans="1:5" x14ac:dyDescent="0.25">
      <c r="A182" t="s">
        <v>595</v>
      </c>
      <c r="B182" t="s">
        <v>596</v>
      </c>
      <c r="C182" t="str">
        <f t="shared" si="6"/>
        <v>mytv807</v>
      </c>
      <c r="D182" t="str">
        <f t="shared" si="7"/>
        <v>Sự kiện MyTV 807</v>
      </c>
      <c r="E182" t="str">
        <f t="shared" si="8"/>
        <v>mytv807</v>
      </c>
    </row>
    <row r="183" spans="1:5" x14ac:dyDescent="0.25">
      <c r="A183" t="s">
        <v>597</v>
      </c>
      <c r="B183" t="s">
        <v>598</v>
      </c>
      <c r="C183" t="str">
        <f t="shared" si="6"/>
        <v>mytv903</v>
      </c>
      <c r="D183" t="str">
        <f t="shared" si="7"/>
        <v>Sự kiện MyTV 903</v>
      </c>
      <c r="E183" t="str">
        <f t="shared" si="8"/>
        <v>mytv903</v>
      </c>
    </row>
    <row r="184" spans="1:5" x14ac:dyDescent="0.25">
      <c r="A184" t="s">
        <v>599</v>
      </c>
      <c r="B184" t="s">
        <v>600</v>
      </c>
      <c r="C184" t="str">
        <f t="shared" si="6"/>
        <v>mytv904</v>
      </c>
      <c r="D184" t="str">
        <f t="shared" si="7"/>
        <v>Sự kiện MyTV 904</v>
      </c>
      <c r="E184" t="str">
        <f t="shared" si="8"/>
        <v>mytv904</v>
      </c>
    </row>
    <row r="185" spans="1:5" x14ac:dyDescent="0.25">
      <c r="A185" t="s">
        <v>601</v>
      </c>
      <c r="B185" t="s">
        <v>602</v>
      </c>
      <c r="C185" t="str">
        <f t="shared" si="6"/>
        <v>mytv905</v>
      </c>
      <c r="D185" t="str">
        <f t="shared" si="7"/>
        <v>Sự kiện MyTV 905</v>
      </c>
      <c r="E185" t="str">
        <f t="shared" si="8"/>
        <v>mytv905</v>
      </c>
    </row>
    <row r="186" spans="1:5" x14ac:dyDescent="0.25">
      <c r="A186" t="s">
        <v>603</v>
      </c>
      <c r="B186" t="s">
        <v>604</v>
      </c>
      <c r="C186" t="str">
        <f t="shared" si="6"/>
        <v>mytv906</v>
      </c>
      <c r="D186" t="str">
        <f t="shared" si="7"/>
        <v>Sự kiện MyTV 906</v>
      </c>
      <c r="E186" t="str">
        <f t="shared" si="8"/>
        <v>mytv906</v>
      </c>
    </row>
    <row r="187" spans="1:5" x14ac:dyDescent="0.25">
      <c r="A187" t="s">
        <v>605</v>
      </c>
      <c r="B187" t="s">
        <v>606</v>
      </c>
      <c r="C187" t="str">
        <f t="shared" si="6"/>
        <v>tv360plus1</v>
      </c>
      <c r="D187" t="str">
        <f t="shared" si="7"/>
        <v>TV360+1</v>
      </c>
      <c r="E187" t="str">
        <f t="shared" si="8"/>
        <v>tv360plus1</v>
      </c>
    </row>
    <row r="188" spans="1:5" x14ac:dyDescent="0.25">
      <c r="A188" t="s">
        <v>607</v>
      </c>
      <c r="B188" t="s">
        <v>608</v>
      </c>
      <c r="C188" t="str">
        <f t="shared" si="6"/>
        <v>tv360plus2</v>
      </c>
      <c r="D188" t="str">
        <f t="shared" si="7"/>
        <v>TV360+2</v>
      </c>
      <c r="E188" t="str">
        <f t="shared" si="8"/>
        <v>tv360plus2</v>
      </c>
    </row>
    <row r="189" spans="1:5" x14ac:dyDescent="0.25">
      <c r="A189" t="s">
        <v>609</v>
      </c>
      <c r="B189" t="s">
        <v>610</v>
      </c>
      <c r="C189" t="str">
        <f t="shared" si="6"/>
        <v>tv360plus3</v>
      </c>
      <c r="D189" t="str">
        <f t="shared" si="7"/>
        <v>TV360+3</v>
      </c>
      <c r="E189" t="str">
        <f t="shared" si="8"/>
        <v>tv360plus3</v>
      </c>
    </row>
    <row r="190" spans="1:5" x14ac:dyDescent="0.25">
      <c r="A190" t="s">
        <v>611</v>
      </c>
      <c r="B190" t="s">
        <v>612</v>
      </c>
      <c r="C190" t="str">
        <f t="shared" si="6"/>
        <v>tv360plus4</v>
      </c>
      <c r="D190" t="str">
        <f t="shared" si="7"/>
        <v>TV360+4</v>
      </c>
      <c r="E190" t="str">
        <f t="shared" si="8"/>
        <v>tv360plus4</v>
      </c>
    </row>
    <row r="191" spans="1:5" x14ac:dyDescent="0.25">
      <c r="A191" t="s">
        <v>613</v>
      </c>
      <c r="B191" t="s">
        <v>614</v>
      </c>
      <c r="C191" t="str">
        <f t="shared" si="6"/>
        <v>tv360plus5</v>
      </c>
      <c r="D191" t="str">
        <f t="shared" si="7"/>
        <v>TV360+5</v>
      </c>
      <c r="E191" t="str">
        <f t="shared" si="8"/>
        <v>tv360plus5</v>
      </c>
    </row>
    <row r="192" spans="1:5" x14ac:dyDescent="0.25">
      <c r="A192" t="s">
        <v>615</v>
      </c>
      <c r="B192" t="s">
        <v>616</v>
      </c>
      <c r="C192" t="str">
        <f t="shared" si="6"/>
        <v>tv360plus6</v>
      </c>
      <c r="D192" t="str">
        <f t="shared" si="7"/>
        <v>TV360+6</v>
      </c>
      <c r="E192" t="str">
        <f t="shared" si="8"/>
        <v>tv360plus6</v>
      </c>
    </row>
    <row r="193" spans="1:5" x14ac:dyDescent="0.25">
      <c r="A193" t="s">
        <v>617</v>
      </c>
      <c r="B193" t="s">
        <v>618</v>
      </c>
      <c r="C193" t="str">
        <f t="shared" si="6"/>
        <v>tv360plus7</v>
      </c>
      <c r="D193" t="str">
        <f t="shared" si="7"/>
        <v>TV360+7</v>
      </c>
      <c r="E193" t="str">
        <f t="shared" si="8"/>
        <v>tv360plus7</v>
      </c>
    </row>
    <row r="194" spans="1:5" x14ac:dyDescent="0.25">
      <c r="A194" t="s">
        <v>619</v>
      </c>
      <c r="B194" t="s">
        <v>620</v>
      </c>
      <c r="C194" t="str">
        <f t="shared" si="6"/>
        <v>tv360plus8</v>
      </c>
      <c r="D194" t="str">
        <f t="shared" si="7"/>
        <v>TV360+8</v>
      </c>
      <c r="E194" t="str">
        <f t="shared" si="8"/>
        <v>tv360plus8</v>
      </c>
    </row>
    <row r="195" spans="1:5" x14ac:dyDescent="0.25">
      <c r="A195" t="s">
        <v>621</v>
      </c>
      <c r="B195" t="s">
        <v>622</v>
      </c>
      <c r="C195" t="str">
        <f t="shared" ref="C195:C250" si="9">MID(A195,FIND("=",A195,1)+2,FIND("&gt;",A195,1)-FIND("=",A195,1)-3)</f>
        <v>tv360plus9</v>
      </c>
      <c r="D195" t="str">
        <f t="shared" ref="D195:D250" si="10">MID(B195,FIND("&gt;",B195,1)+1,FIND("/",B195,1)-FIND("&gt;",B195,1)-2)</f>
        <v>TV360+9</v>
      </c>
      <c r="E195" t="str">
        <f t="shared" ref="E195:E250" si="11">C195</f>
        <v>tv360plus9</v>
      </c>
    </row>
    <row r="196" spans="1:5" x14ac:dyDescent="0.25">
      <c r="A196" t="s">
        <v>623</v>
      </c>
      <c r="B196" t="s">
        <v>624</v>
      </c>
      <c r="C196" t="str">
        <f t="shared" si="9"/>
        <v>tv360plus10</v>
      </c>
      <c r="D196" t="str">
        <f t="shared" si="10"/>
        <v>TV360+10</v>
      </c>
      <c r="E196" t="str">
        <f t="shared" si="11"/>
        <v>tv360plus10</v>
      </c>
    </row>
    <row r="197" spans="1:5" x14ac:dyDescent="0.25">
      <c r="A197" t="s">
        <v>625</v>
      </c>
      <c r="B197" t="s">
        <v>626</v>
      </c>
      <c r="C197" t="str">
        <f t="shared" si="9"/>
        <v>tv360plus11</v>
      </c>
      <c r="D197" t="str">
        <f t="shared" si="10"/>
        <v>TV360+11</v>
      </c>
      <c r="E197" t="str">
        <f t="shared" si="11"/>
        <v>tv360plus11</v>
      </c>
    </row>
    <row r="198" spans="1:5" x14ac:dyDescent="0.25">
      <c r="A198" t="s">
        <v>627</v>
      </c>
      <c r="B198" t="s">
        <v>628</v>
      </c>
      <c r="C198" t="str">
        <f t="shared" si="9"/>
        <v>tv360plus12</v>
      </c>
      <c r="D198" t="str">
        <f t="shared" si="10"/>
        <v>TV360+12</v>
      </c>
      <c r="E198" t="str">
        <f t="shared" si="11"/>
        <v>tv360plus12</v>
      </c>
    </row>
    <row r="199" spans="1:5" x14ac:dyDescent="0.25">
      <c r="A199" t="s">
        <v>629</v>
      </c>
      <c r="B199" t="s">
        <v>630</v>
      </c>
      <c r="C199" t="str">
        <f t="shared" si="9"/>
        <v>tv360plus13</v>
      </c>
      <c r="D199" t="str">
        <f t="shared" si="10"/>
        <v>TV360+13</v>
      </c>
      <c r="E199" t="str">
        <f t="shared" si="11"/>
        <v>tv360plus13</v>
      </c>
    </row>
    <row r="200" spans="1:5" x14ac:dyDescent="0.25">
      <c r="A200" t="s">
        <v>631</v>
      </c>
      <c r="B200" t="s">
        <v>632</v>
      </c>
      <c r="C200" t="str">
        <f t="shared" si="9"/>
        <v>tv360plus14</v>
      </c>
      <c r="D200" t="str">
        <f t="shared" si="10"/>
        <v>TV360+14</v>
      </c>
      <c r="E200" t="str">
        <f t="shared" si="11"/>
        <v>tv360plus14</v>
      </c>
    </row>
    <row r="201" spans="1:5" x14ac:dyDescent="0.25">
      <c r="A201" t="s">
        <v>633</v>
      </c>
      <c r="B201" t="s">
        <v>634</v>
      </c>
      <c r="C201" t="str">
        <f t="shared" si="9"/>
        <v>tv360plus15</v>
      </c>
      <c r="D201" t="str">
        <f t="shared" si="10"/>
        <v>TV360+15</v>
      </c>
      <c r="E201" t="str">
        <f t="shared" si="11"/>
        <v>tv360plus15</v>
      </c>
    </row>
    <row r="202" spans="1:5" x14ac:dyDescent="0.25">
      <c r="A202" t="s">
        <v>635</v>
      </c>
      <c r="B202" t="s">
        <v>636</v>
      </c>
      <c r="C202" t="str">
        <f t="shared" si="9"/>
        <v>vov1</v>
      </c>
      <c r="D202" t="str">
        <f t="shared" si="10"/>
        <v>VOV1</v>
      </c>
      <c r="E202" t="str">
        <f t="shared" si="11"/>
        <v>vov1</v>
      </c>
    </row>
    <row r="203" spans="1:5" x14ac:dyDescent="0.25">
      <c r="A203" t="s">
        <v>637</v>
      </c>
      <c r="B203" t="s">
        <v>638</v>
      </c>
      <c r="C203" t="str">
        <f t="shared" si="9"/>
        <v>vov2</v>
      </c>
      <c r="D203" t="str">
        <f t="shared" si="10"/>
        <v>VOV2</v>
      </c>
      <c r="E203" t="str">
        <f t="shared" si="11"/>
        <v>vov2</v>
      </c>
    </row>
    <row r="204" spans="1:5" x14ac:dyDescent="0.25">
      <c r="A204" t="s">
        <v>639</v>
      </c>
      <c r="B204" t="s">
        <v>640</v>
      </c>
      <c r="C204" t="str">
        <f t="shared" si="9"/>
        <v>vov3</v>
      </c>
      <c r="D204" t="str">
        <f t="shared" si="10"/>
        <v>VOV3</v>
      </c>
      <c r="E204" t="str">
        <f t="shared" si="11"/>
        <v>vov3</v>
      </c>
    </row>
    <row r="205" spans="1:5" x14ac:dyDescent="0.25">
      <c r="A205" t="s">
        <v>641</v>
      </c>
      <c r="B205" t="s">
        <v>642</v>
      </c>
      <c r="C205" t="str">
        <f t="shared" si="9"/>
        <v>vov4tn</v>
      </c>
      <c r="D205" t="str">
        <f t="shared" si="10"/>
        <v>VOV4 Tây Nguyên</v>
      </c>
      <c r="E205" t="str">
        <f t="shared" si="11"/>
        <v>vov4tn</v>
      </c>
    </row>
    <row r="206" spans="1:5" x14ac:dyDescent="0.25">
      <c r="A206" t="s">
        <v>643</v>
      </c>
      <c r="B206" t="s">
        <v>644</v>
      </c>
      <c r="C206" t="str">
        <f t="shared" si="9"/>
        <v>vov4mt</v>
      </c>
      <c r="D206" t="str">
        <f t="shared" si="10"/>
        <v>VOV4 Miền Trung</v>
      </c>
      <c r="E206" t="str">
        <f t="shared" si="11"/>
        <v>vov4mt</v>
      </c>
    </row>
    <row r="207" spans="1:5" x14ac:dyDescent="0.25">
      <c r="A207" t="s">
        <v>645</v>
      </c>
      <c r="B207" t="s">
        <v>646</v>
      </c>
      <c r="C207" t="str">
        <f t="shared" si="9"/>
        <v>vov4tb</v>
      </c>
      <c r="D207" t="str">
        <f t="shared" si="10"/>
        <v>VOV4 Tây Bắc - Đông Bắc</v>
      </c>
      <c r="E207" t="str">
        <f t="shared" si="11"/>
        <v>vov4tb</v>
      </c>
    </row>
    <row r="208" spans="1:5" x14ac:dyDescent="0.25">
      <c r="A208" t="s">
        <v>647</v>
      </c>
      <c r="B208" t="s">
        <v>648</v>
      </c>
      <c r="C208" t="str">
        <f t="shared" si="9"/>
        <v>vov4hcm</v>
      </c>
      <c r="D208" t="str">
        <f t="shared" si="10"/>
        <v>VOV4 Hồ Chí Minh</v>
      </c>
      <c r="E208" t="str">
        <f t="shared" si="11"/>
        <v>vov4hcm</v>
      </c>
    </row>
    <row r="209" spans="1:5" x14ac:dyDescent="0.25">
      <c r="A209" t="s">
        <v>649</v>
      </c>
      <c r="B209" t="s">
        <v>650</v>
      </c>
      <c r="C209" t="str">
        <f t="shared" si="9"/>
        <v>vov4scl</v>
      </c>
      <c r="D209" t="str">
        <f t="shared" si="10"/>
        <v>VOV4 Đồng bằng Sông Cửu Long</v>
      </c>
      <c r="E209" t="str">
        <f t="shared" si="11"/>
        <v>vov4scl</v>
      </c>
    </row>
    <row r="210" spans="1:5" x14ac:dyDescent="0.25">
      <c r="A210" t="s">
        <v>651</v>
      </c>
      <c r="B210" t="s">
        <v>652</v>
      </c>
      <c r="C210" t="str">
        <f t="shared" si="9"/>
        <v>vov5</v>
      </c>
      <c r="D210" t="str">
        <f t="shared" si="10"/>
        <v>VOV5</v>
      </c>
      <c r="E210" t="str">
        <f t="shared" si="11"/>
        <v>vov5</v>
      </c>
    </row>
    <row r="211" spans="1:5" x14ac:dyDescent="0.25">
      <c r="A211" t="s">
        <v>653</v>
      </c>
      <c r="B211" t="s">
        <v>654</v>
      </c>
      <c r="C211" t="str">
        <f t="shared" si="9"/>
        <v>vov247</v>
      </c>
      <c r="D211" t="str">
        <f t="shared" si="10"/>
        <v>VOV5 English 2</v>
      </c>
      <c r="E211" t="str">
        <f t="shared" si="11"/>
        <v>vov247</v>
      </c>
    </row>
    <row r="212" spans="1:5" x14ac:dyDescent="0.25">
      <c r="A212" t="s">
        <v>655</v>
      </c>
      <c r="B212" t="s">
        <v>656</v>
      </c>
      <c r="C212" t="str">
        <f t="shared" si="9"/>
        <v>vovgthn</v>
      </c>
      <c r="D212" t="str">
        <f t="shared" si="10"/>
        <v>VOV Giao thông Hà Nội</v>
      </c>
      <c r="E212" t="str">
        <f t="shared" si="11"/>
        <v>vovgthn</v>
      </c>
    </row>
    <row r="213" spans="1:5" x14ac:dyDescent="0.25">
      <c r="A213" t="s">
        <v>657</v>
      </c>
      <c r="B213" t="s">
        <v>658</v>
      </c>
      <c r="C213" t="str">
        <f t="shared" si="9"/>
        <v>vovgthcm</v>
      </c>
      <c r="D213" t="str">
        <f t="shared" si="10"/>
        <v>VOV Giao thông Hồ Chí Minh</v>
      </c>
      <c r="E213" t="str">
        <f t="shared" si="11"/>
        <v>vovgthcm</v>
      </c>
    </row>
    <row r="214" spans="1:5" x14ac:dyDescent="0.25">
      <c r="A214" t="s">
        <v>659</v>
      </c>
      <c r="B214" t="s">
        <v>660</v>
      </c>
      <c r="C214" t="str">
        <f t="shared" si="9"/>
        <v>vovgtmekong</v>
      </c>
      <c r="D214" t="str">
        <f t="shared" si="10"/>
        <v>VOV Giao thông Mekong</v>
      </c>
      <c r="E214" t="str">
        <f t="shared" si="11"/>
        <v>vovgtmekong</v>
      </c>
    </row>
    <row r="215" spans="1:5" x14ac:dyDescent="0.25">
      <c r="A215" t="s">
        <v>661</v>
      </c>
      <c r="B215" t="s">
        <v>662</v>
      </c>
      <c r="C215" t="str">
        <f t="shared" si="9"/>
        <v>vovgtduyenhai</v>
      </c>
      <c r="D215" t="str">
        <f t="shared" si="10"/>
        <v>VOV Giao thông Duyên Hải</v>
      </c>
      <c r="E215" t="str">
        <f t="shared" si="11"/>
        <v>vovgtduyenhai</v>
      </c>
    </row>
    <row r="216" spans="1:5" x14ac:dyDescent="0.25">
      <c r="A216" t="s">
        <v>663</v>
      </c>
      <c r="B216" t="s">
        <v>664</v>
      </c>
      <c r="C216" t="str">
        <f t="shared" si="9"/>
        <v>voh999</v>
      </c>
      <c r="D216" t="str">
        <f t="shared" si="10"/>
        <v>VOH FM 99.9 MHz</v>
      </c>
      <c r="E216" t="str">
        <f t="shared" si="11"/>
        <v>voh999</v>
      </c>
    </row>
    <row r="217" spans="1:5" x14ac:dyDescent="0.25">
      <c r="A217" t="s">
        <v>665</v>
      </c>
      <c r="B217" t="s">
        <v>666</v>
      </c>
      <c r="C217" t="str">
        <f t="shared" si="9"/>
        <v>voh956</v>
      </c>
      <c r="D217" t="str">
        <f t="shared" si="10"/>
        <v>VOH FM 95.6 MHz</v>
      </c>
      <c r="E217" t="str">
        <f t="shared" si="11"/>
        <v>voh956</v>
      </c>
    </row>
    <row r="218" spans="1:5" x14ac:dyDescent="0.25">
      <c r="A218" t="s">
        <v>667</v>
      </c>
      <c r="B218" t="s">
        <v>668</v>
      </c>
      <c r="C218" t="str">
        <f t="shared" si="9"/>
        <v>voh925</v>
      </c>
      <c r="D218" t="str">
        <f t="shared" si="10"/>
        <v>VOH-M FM 92-92.5 MHz</v>
      </c>
      <c r="E218" t="str">
        <f t="shared" si="11"/>
        <v>voh925</v>
      </c>
    </row>
    <row r="219" spans="1:5" x14ac:dyDescent="0.25">
      <c r="A219" t="s">
        <v>669</v>
      </c>
      <c r="B219" t="s">
        <v>670</v>
      </c>
      <c r="C219" t="str">
        <f t="shared" si="9"/>
        <v>voh877</v>
      </c>
      <c r="D219" t="str">
        <f t="shared" si="10"/>
        <v>VOH FM 87.7 MHz</v>
      </c>
      <c r="E219" t="str">
        <f t="shared" si="11"/>
        <v>voh877</v>
      </c>
    </row>
    <row r="220" spans="1:5" x14ac:dyDescent="0.25">
      <c r="A220" t="s">
        <v>671</v>
      </c>
      <c r="B220" t="s">
        <v>672</v>
      </c>
      <c r="C220" t="str">
        <f t="shared" si="9"/>
        <v>voh610</v>
      </c>
      <c r="D220" t="str">
        <f t="shared" si="10"/>
        <v>VOH AM 610 kHz</v>
      </c>
      <c r="E220" t="str">
        <f t="shared" si="11"/>
        <v>voh610</v>
      </c>
    </row>
    <row r="221" spans="1:5" x14ac:dyDescent="0.25">
      <c r="A221" t="s">
        <v>673</v>
      </c>
      <c r="B221" t="s">
        <v>674</v>
      </c>
      <c r="C221" t="str">
        <f t="shared" si="9"/>
        <v>angiangradio1</v>
      </c>
      <c r="D221" t="str">
        <f t="shared" si="10"/>
        <v>An Giang Radio</v>
      </c>
      <c r="E221" t="str">
        <f t="shared" si="11"/>
        <v>angiangradio1</v>
      </c>
    </row>
    <row r="222" spans="1:5" x14ac:dyDescent="0.25">
      <c r="A222" t="s">
        <v>675</v>
      </c>
      <c r="B222" t="s">
        <v>676</v>
      </c>
      <c r="C222" t="str">
        <f t="shared" si="9"/>
        <v>bacninhradio</v>
      </c>
      <c r="D222" t="str">
        <f t="shared" si="10"/>
        <v>Bắc Ninh Radio</v>
      </c>
      <c r="E222" t="str">
        <f t="shared" si="11"/>
        <v>bacninhradio</v>
      </c>
    </row>
    <row r="223" spans="1:5" x14ac:dyDescent="0.25">
      <c r="A223" t="s">
        <v>677</v>
      </c>
      <c r="B223" t="s">
        <v>678</v>
      </c>
      <c r="C223" t="str">
        <f t="shared" si="9"/>
        <v>camauradio</v>
      </c>
      <c r="D223" t="str">
        <f t="shared" si="10"/>
        <v>Cà Mau Radio</v>
      </c>
      <c r="E223" t="str">
        <f t="shared" si="11"/>
        <v>camauradio</v>
      </c>
    </row>
    <row r="224" spans="1:5" x14ac:dyDescent="0.25">
      <c r="A224" t="s">
        <v>679</v>
      </c>
      <c r="B224" t="s">
        <v>680</v>
      </c>
      <c r="C224" t="str">
        <f t="shared" si="9"/>
        <v>canthoradio1</v>
      </c>
      <c r="D224" t="str">
        <f t="shared" si="10"/>
        <v>Cần Thơ Radio 1</v>
      </c>
      <c r="E224" t="str">
        <f t="shared" si="11"/>
        <v>canthoradio1</v>
      </c>
    </row>
    <row r="225" spans="1:5" x14ac:dyDescent="0.25">
      <c r="A225" t="s">
        <v>681</v>
      </c>
      <c r="B225" t="s">
        <v>682</v>
      </c>
      <c r="C225" t="str">
        <f t="shared" si="9"/>
        <v>canthoradio2</v>
      </c>
      <c r="D225" t="str">
        <f t="shared" si="10"/>
        <v>Cần Thơ Radio 2</v>
      </c>
      <c r="E225" t="str">
        <f t="shared" si="11"/>
        <v>canthoradio2</v>
      </c>
    </row>
    <row r="226" spans="1:5" x14ac:dyDescent="0.25">
      <c r="A226" t="s">
        <v>683</v>
      </c>
      <c r="B226" t="s">
        <v>684</v>
      </c>
      <c r="C226" t="str">
        <f t="shared" si="9"/>
        <v>daklakradio</v>
      </c>
      <c r="D226" t="str">
        <f t="shared" si="10"/>
        <v>Đắk Lắk Radio</v>
      </c>
      <c r="E226" t="str">
        <f t="shared" si="11"/>
        <v>daklakradio</v>
      </c>
    </row>
    <row r="227" spans="1:5" x14ac:dyDescent="0.25">
      <c r="A227" t="s">
        <v>685</v>
      </c>
      <c r="B227" t="s">
        <v>686</v>
      </c>
      <c r="C227" t="str">
        <f t="shared" si="9"/>
        <v>dienbienradio</v>
      </c>
      <c r="D227" t="str">
        <f t="shared" si="10"/>
        <v>Điện Biên Radio</v>
      </c>
      <c r="E227" t="str">
        <f t="shared" si="11"/>
        <v>dienbienradio</v>
      </c>
    </row>
    <row r="228" spans="1:5" x14ac:dyDescent="0.25">
      <c r="A228" t="s">
        <v>687</v>
      </c>
      <c r="B228" t="s">
        <v>688</v>
      </c>
      <c r="C228" t="str">
        <f t="shared" si="9"/>
        <v>dongthapradio</v>
      </c>
      <c r="D228" t="str">
        <f t="shared" si="10"/>
        <v>Đồng Tháp Radio</v>
      </c>
      <c r="E228" t="str">
        <f t="shared" si="11"/>
        <v>dongthapradio</v>
      </c>
    </row>
    <row r="229" spans="1:5" x14ac:dyDescent="0.25">
      <c r="A229" t="s">
        <v>689</v>
      </c>
      <c r="B229" t="s">
        <v>690</v>
      </c>
      <c r="C229" t="str">
        <f t="shared" si="9"/>
        <v>dongnairadio</v>
      </c>
      <c r="D229" t="str">
        <f t="shared" si="10"/>
        <v>Đồng Nai Radio</v>
      </c>
      <c r="E229" t="str">
        <f t="shared" si="11"/>
        <v>dongnairadio</v>
      </c>
    </row>
    <row r="230" spans="1:5" x14ac:dyDescent="0.25">
      <c r="A230" t="s">
        <v>691</v>
      </c>
      <c r="B230" t="s">
        <v>692</v>
      </c>
      <c r="C230" t="str">
        <f t="shared" si="9"/>
        <v>hanoi90</v>
      </c>
      <c r="D230" t="str">
        <f t="shared" si="10"/>
        <v>Hà Nội FM90</v>
      </c>
      <c r="E230" t="str">
        <f t="shared" si="11"/>
        <v>hanoi90</v>
      </c>
    </row>
    <row r="231" spans="1:5" x14ac:dyDescent="0.25">
      <c r="A231" t="s">
        <v>693</v>
      </c>
      <c r="B231" t="s">
        <v>694</v>
      </c>
      <c r="C231" t="str">
        <f t="shared" si="9"/>
        <v>hanoi96</v>
      </c>
      <c r="D231" t="str">
        <f t="shared" si="10"/>
        <v>Hà Nội FM96</v>
      </c>
      <c r="E231" t="str">
        <f t="shared" si="11"/>
        <v>hanoi96</v>
      </c>
    </row>
    <row r="232" spans="1:5" x14ac:dyDescent="0.25">
      <c r="A232" t="s">
        <v>695</v>
      </c>
      <c r="B232" t="s">
        <v>696</v>
      </c>
      <c r="C232" t="str">
        <f t="shared" si="9"/>
        <v>hatinhradio</v>
      </c>
      <c r="D232" t="str">
        <f t="shared" si="10"/>
        <v>Hà Tĩnh Radio</v>
      </c>
      <c r="E232" t="str">
        <f t="shared" si="11"/>
        <v>hatinhradio</v>
      </c>
    </row>
    <row r="233" spans="1:5" x14ac:dyDescent="0.25">
      <c r="A233" t="s">
        <v>697</v>
      </c>
      <c r="B233" t="s">
        <v>698</v>
      </c>
      <c r="C233" t="str">
        <f t="shared" si="9"/>
        <v>haiphong937</v>
      </c>
      <c r="D233" t="str">
        <f t="shared" si="10"/>
        <v>Hải Phòng FM 93.7</v>
      </c>
      <c r="E233" t="str">
        <f t="shared" si="11"/>
        <v>haiphong937</v>
      </c>
    </row>
    <row r="234" spans="1:5" x14ac:dyDescent="0.25">
      <c r="A234" t="s">
        <v>699</v>
      </c>
      <c r="B234" t="s">
        <v>700</v>
      </c>
      <c r="C234" t="str">
        <f t="shared" si="9"/>
        <v>haiphong1022</v>
      </c>
      <c r="D234" t="str">
        <f t="shared" si="10"/>
        <v>Hải Phòng FM 102.2</v>
      </c>
      <c r="E234" t="str">
        <f t="shared" si="11"/>
        <v>haiphong1022</v>
      </c>
    </row>
    <row r="235" spans="1:5" x14ac:dyDescent="0.25">
      <c r="A235" t="s">
        <v>701</v>
      </c>
      <c r="B235" t="s">
        <v>702</v>
      </c>
      <c r="C235" t="str">
        <f t="shared" si="9"/>
        <v>hungyenradio</v>
      </c>
      <c r="D235" t="str">
        <f t="shared" si="10"/>
        <v>Hưng Yên Radio</v>
      </c>
      <c r="E235" t="str">
        <f t="shared" si="11"/>
        <v>hungyenradio</v>
      </c>
    </row>
    <row r="236" spans="1:5" x14ac:dyDescent="0.25">
      <c r="A236" t="s">
        <v>703</v>
      </c>
      <c r="B236" t="s">
        <v>704</v>
      </c>
      <c r="C236" t="str">
        <f t="shared" si="9"/>
        <v>khanhhoaradio</v>
      </c>
      <c r="D236" t="str">
        <f t="shared" si="10"/>
        <v>Khánh Hoà FM 106.5</v>
      </c>
      <c r="E236" t="str">
        <f t="shared" si="11"/>
        <v>khanhhoaradio</v>
      </c>
    </row>
    <row r="237" spans="1:5" x14ac:dyDescent="0.25">
      <c r="A237" t="s">
        <v>705</v>
      </c>
      <c r="B237" t="s">
        <v>706</v>
      </c>
      <c r="C237" t="str">
        <f t="shared" si="9"/>
        <v>khanhhoaradio2</v>
      </c>
      <c r="D237" t="str">
        <f t="shared" si="10"/>
        <v>Khánh Hoà FM 95</v>
      </c>
      <c r="E237" t="str">
        <f t="shared" si="11"/>
        <v>khanhhoaradio2</v>
      </c>
    </row>
    <row r="238" spans="1:5" x14ac:dyDescent="0.25">
      <c r="A238" t="s">
        <v>707</v>
      </c>
      <c r="B238" t="s">
        <v>708</v>
      </c>
      <c r="C238" t="str">
        <f t="shared" si="9"/>
        <v>langsonradio</v>
      </c>
      <c r="D238" t="str">
        <f t="shared" si="10"/>
        <v>Lạng Sơn Radio</v>
      </c>
      <c r="E238" t="str">
        <f t="shared" si="11"/>
        <v>langsonradio</v>
      </c>
    </row>
    <row r="239" spans="1:5" x14ac:dyDescent="0.25">
      <c r="A239" t="s">
        <v>709</v>
      </c>
      <c r="B239" t="s">
        <v>710</v>
      </c>
      <c r="C239" t="str">
        <f t="shared" si="9"/>
        <v>lamdongradio1</v>
      </c>
      <c r="D239" t="str">
        <f t="shared" si="10"/>
        <v>Lâm Đồng Radio 1</v>
      </c>
      <c r="E239" t="str">
        <f t="shared" si="11"/>
        <v>lamdongradio1</v>
      </c>
    </row>
    <row r="240" spans="1:5" x14ac:dyDescent="0.25">
      <c r="A240" t="s">
        <v>711</v>
      </c>
      <c r="B240" t="s">
        <v>712</v>
      </c>
      <c r="C240" t="str">
        <f t="shared" si="9"/>
        <v>lamdongradio2</v>
      </c>
      <c r="D240" t="str">
        <f t="shared" si="10"/>
        <v>Lâm Đồng Radio 2</v>
      </c>
      <c r="E240" t="str">
        <f t="shared" si="11"/>
        <v>lamdongradio2</v>
      </c>
    </row>
    <row r="241" spans="1:5" x14ac:dyDescent="0.25">
      <c r="A241" t="s">
        <v>713</v>
      </c>
      <c r="B241" t="s">
        <v>714</v>
      </c>
      <c r="C241" t="str">
        <f t="shared" si="9"/>
        <v>ngheanradio</v>
      </c>
      <c r="D241" t="str">
        <f t="shared" si="10"/>
        <v>Nghệ An Radio</v>
      </c>
      <c r="E241" t="str">
        <f t="shared" si="11"/>
        <v>ngheanradio</v>
      </c>
    </row>
    <row r="242" spans="1:5" x14ac:dyDescent="0.25">
      <c r="A242" t="s">
        <v>715</v>
      </c>
      <c r="B242" t="s">
        <v>716</v>
      </c>
      <c r="C242" t="str">
        <f t="shared" si="9"/>
        <v>ninhbinhradio</v>
      </c>
      <c r="D242" t="str">
        <f t="shared" si="10"/>
        <v>Ninh Bình Radio</v>
      </c>
      <c r="E242" t="str">
        <f t="shared" si="11"/>
        <v>ninhbinhradio</v>
      </c>
    </row>
    <row r="243" spans="1:5" x14ac:dyDescent="0.25">
      <c r="A243" t="s">
        <v>717</v>
      </c>
      <c r="B243" t="s">
        <v>718</v>
      </c>
      <c r="C243" t="str">
        <f t="shared" si="9"/>
        <v>quangninhradio1</v>
      </c>
      <c r="D243" t="str">
        <f t="shared" si="10"/>
        <v>Quảng Ninh Radio 1</v>
      </c>
      <c r="E243" t="str">
        <f t="shared" si="11"/>
        <v>quangninhradio1</v>
      </c>
    </row>
    <row r="244" spans="1:5" x14ac:dyDescent="0.25">
      <c r="A244" t="s">
        <v>719</v>
      </c>
      <c r="B244" t="s">
        <v>720</v>
      </c>
      <c r="C244" t="str">
        <f t="shared" si="9"/>
        <v>quangninhradio2</v>
      </c>
      <c r="D244" t="str">
        <f t="shared" si="10"/>
        <v>Quảng Ninh Radio 2</v>
      </c>
      <c r="E244" t="str">
        <f t="shared" si="11"/>
        <v>quangninhradio2</v>
      </c>
    </row>
    <row r="245" spans="1:5" x14ac:dyDescent="0.25">
      <c r="A245" t="s">
        <v>721</v>
      </c>
      <c r="B245" t="s">
        <v>722</v>
      </c>
      <c r="C245" t="str">
        <f t="shared" si="9"/>
        <v>quangtriradio</v>
      </c>
      <c r="D245" t="str">
        <f t="shared" si="10"/>
        <v>Quảng Trị Radio</v>
      </c>
      <c r="E245" t="str">
        <f t="shared" si="11"/>
        <v>quangtriradio</v>
      </c>
    </row>
    <row r="246" spans="1:5" x14ac:dyDescent="0.25">
      <c r="A246" t="s">
        <v>723</v>
      </c>
      <c r="B246" t="s">
        <v>724</v>
      </c>
      <c r="C246" t="str">
        <f t="shared" si="9"/>
        <v>sonlaradio</v>
      </c>
      <c r="D246" t="str">
        <f t="shared" si="10"/>
        <v>Sơn La Radio</v>
      </c>
      <c r="E246" t="str">
        <f t="shared" si="11"/>
        <v>sonlaradio</v>
      </c>
    </row>
    <row r="247" spans="1:5" x14ac:dyDescent="0.25">
      <c r="A247" t="s">
        <v>725</v>
      </c>
      <c r="B247" t="s">
        <v>726</v>
      </c>
      <c r="C247" t="str">
        <f t="shared" si="9"/>
        <v>tayninhradio</v>
      </c>
      <c r="D247" t="str">
        <f t="shared" si="10"/>
        <v>Tây Ninh Radio</v>
      </c>
      <c r="E247" t="str">
        <f t="shared" si="11"/>
        <v>tayninhradio</v>
      </c>
    </row>
    <row r="248" spans="1:5" x14ac:dyDescent="0.25">
      <c r="A248" t="s">
        <v>727</v>
      </c>
      <c r="B248" t="s">
        <v>728</v>
      </c>
      <c r="C248" t="str">
        <f t="shared" si="9"/>
        <v>thainguyenradio</v>
      </c>
      <c r="D248" t="str">
        <f t="shared" si="10"/>
        <v>Thái Nguyên Radio</v>
      </c>
      <c r="E248" t="str">
        <f t="shared" si="11"/>
        <v>thainguyenradio</v>
      </c>
    </row>
    <row r="249" spans="1:5" x14ac:dyDescent="0.25">
      <c r="A249" t="s">
        <v>729</v>
      </c>
      <c r="B249" t="s">
        <v>730</v>
      </c>
      <c r="C249" t="str">
        <f t="shared" si="9"/>
        <v>thanhhoaradio</v>
      </c>
      <c r="D249" t="str">
        <f t="shared" si="10"/>
        <v>Thanh Hoá Radio</v>
      </c>
      <c r="E249" t="str">
        <f t="shared" si="11"/>
        <v>thanhhoaradio</v>
      </c>
    </row>
    <row r="250" spans="1:5" x14ac:dyDescent="0.25">
      <c r="A250" t="s">
        <v>731</v>
      </c>
      <c r="B250" t="s">
        <v>732</v>
      </c>
      <c r="C250" t="str">
        <f t="shared" si="9"/>
        <v>vinhlongradio</v>
      </c>
      <c r="D250" t="str">
        <f t="shared" si="10"/>
        <v>Vĩnh Long Radio</v>
      </c>
      <c r="E250" t="str">
        <f t="shared" si="11"/>
        <v>vinhlongradio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VHSON</cp:lastModifiedBy>
  <dcterms:created xsi:type="dcterms:W3CDTF">2025-05-18T16:50:39Z</dcterms:created>
  <dcterms:modified xsi:type="dcterms:W3CDTF">2026-08-16T15:17:09Z</dcterms:modified>
</cp:coreProperties>
</file>